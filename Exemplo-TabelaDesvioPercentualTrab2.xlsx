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OES" sheetId="1" r:id="rId4"/>
    <sheet state="visible" name="ResultadosObtidos" sheetId="2" r:id="rId5"/>
    <sheet state="visible" name="DesvioPercentual" sheetId="3" r:id="rId6"/>
    <sheet state="visible" name="Desvio_Latex" sheetId="4" r:id="rId7"/>
  </sheets>
  <definedNames/>
  <calcPr/>
  <extLst>
    <ext uri="GoogleSheetsCustomDataVersion2">
      <go:sheetsCustomData xmlns:go="http://customooxmlschemas.google.com/" r:id="rId8" roundtripDataChecksum="vPDytpROXtqPG5rqK2smGjiaopy5w2o1hlMlq4LDsBg="/>
    </ext>
  </extLst>
</workbook>
</file>

<file path=xl/sharedStrings.xml><?xml version="1.0" encoding="utf-8"?>
<sst xmlns="http://schemas.openxmlformats.org/spreadsheetml/2006/main" count="79" uniqueCount="62">
  <si>
    <t>ATENÇÃO</t>
  </si>
  <si>
    <r>
      <rPr>
        <rFont val="Calibri"/>
        <b/>
        <color theme="1"/>
        <sz val="18.0"/>
      </rPr>
      <t xml:space="preserve">Altere apenas a aba </t>
    </r>
    <r>
      <rPr>
        <rFont val="Calibri (Body)"/>
        <b/>
        <color rgb="FFFF0000"/>
        <sz val="18.0"/>
      </rPr>
      <t>ResultadosObtidos</t>
    </r>
    <r>
      <rPr>
        <rFont val="Calibri"/>
        <b/>
        <color theme="1"/>
        <sz val="18.0"/>
      </rPr>
      <t xml:space="preserve"> preenchendo as células azuis.</t>
    </r>
  </si>
  <si>
    <t xml:space="preserve">Se não tiver resultados da literatura, deixe a célula em branco. </t>
  </si>
  <si>
    <t xml:space="preserve">Você deve preencher toda a tabela uma vez com o melhor resultado e, </t>
  </si>
  <si>
    <t>depois, toda a tabela novamente com o valor da média das execuções de cada algoritmo.</t>
  </si>
  <si>
    <r>
      <rPr>
        <rFont val="Calibri"/>
        <b/>
        <color theme="1"/>
        <sz val="18.0"/>
      </rPr>
      <t xml:space="preserve">Na aba </t>
    </r>
    <r>
      <rPr>
        <rFont val="Calibri (Body)"/>
        <b/>
        <color rgb="FF0070C0"/>
        <sz val="18.0"/>
      </rPr>
      <t>DesvioPercentual</t>
    </r>
    <r>
      <rPr>
        <rFont val="Calibri"/>
        <b/>
        <color theme="1"/>
        <sz val="18.0"/>
      </rPr>
      <t xml:space="preserve"> você consegue observar os valores de desvio.</t>
    </r>
  </si>
  <si>
    <t>Nesta aba, ao lado direito da tabela, tem uma interpretação dos dados, bem como as médias.</t>
  </si>
  <si>
    <r>
      <rPr>
        <rFont val="Calibri"/>
        <b/>
        <color theme="1"/>
        <sz val="18.0"/>
      </rPr>
      <t xml:space="preserve">Na aba </t>
    </r>
    <r>
      <rPr>
        <rFont val="Calibri (Body)"/>
        <b/>
        <color rgb="FFFF9300"/>
        <sz val="18.0"/>
      </rPr>
      <t>Desvio_Latex</t>
    </r>
    <r>
      <rPr>
        <rFont val="Calibri"/>
        <b/>
        <color theme="1"/>
        <sz val="18.0"/>
      </rPr>
      <t xml:space="preserve"> você encontra o código em latex das linhas das instâncias para colar na tabela.</t>
    </r>
  </si>
  <si>
    <t>Você precisa informar o número de casas decimais desejado.</t>
  </si>
  <si>
    <t>O código em latex já coloca os dados em negrito automaticamente.</t>
  </si>
  <si>
    <t xml:space="preserve">Se você não tiver inserido dados da literatura, o código em latex não vai conter a coluna </t>
  </si>
  <si>
    <t>e você vai precisar utilizar a versão da tabela sem essa coluna.</t>
  </si>
  <si>
    <t>Tabela 1: Resultados obtidos pelos algoritmos</t>
  </si>
  <si>
    <t>Instâncias</t>
  </si>
  <si>
    <t>best</t>
  </si>
  <si>
    <t>Literatura</t>
  </si>
  <si>
    <t>Guloso</t>
  </si>
  <si>
    <t>Randomizado</t>
  </si>
  <si>
    <t>Reativo
{0,2; 0,3; 0,4}</t>
  </si>
  <si>
    <t>alfa = 0,2</t>
  </si>
  <si>
    <t>alfa = 0,3</t>
  </si>
  <si>
    <t>alfa = 0,4</t>
  </si>
  <si>
    <t>nome instancia 1</t>
  </si>
  <si>
    <t>nome instancia 2</t>
  </si>
  <si>
    <t>nome instancia 3</t>
  </si>
  <si>
    <t>nome instancia 4</t>
  </si>
  <si>
    <t>nome instancia 5</t>
  </si>
  <si>
    <t>nome instancia 6</t>
  </si>
  <si>
    <t>nome instancia 7</t>
  </si>
  <si>
    <t>nome instancia 8</t>
  </si>
  <si>
    <t>nome instancia 9</t>
  </si>
  <si>
    <t>nome instancia 10</t>
  </si>
  <si>
    <t>nome instancia 11</t>
  </si>
  <si>
    <t>nome instancia 12</t>
  </si>
  <si>
    <t>nome instancia 13</t>
  </si>
  <si>
    <t>nome instancia 14</t>
  </si>
  <si>
    <t>nome instancia 15</t>
  </si>
  <si>
    <t>nome instancia 16</t>
  </si>
  <si>
    <t>nome instancia 17</t>
  </si>
  <si>
    <t>nome instancia 18</t>
  </si>
  <si>
    <t>nome instancia 19</t>
  </si>
  <si>
    <t>nome instancia 20</t>
  </si>
  <si>
    <t>nome instancia 21</t>
  </si>
  <si>
    <t>nome instancia 22</t>
  </si>
  <si>
    <t>nome instancia 23</t>
  </si>
  <si>
    <t>nome instancia 24</t>
  </si>
  <si>
    <t>nome instancia 25</t>
  </si>
  <si>
    <t>nome instancia 26</t>
  </si>
  <si>
    <t>nome instancia 27</t>
  </si>
  <si>
    <t>nome instancia 28</t>
  </si>
  <si>
    <t>nome instancia 29</t>
  </si>
  <si>
    <t>nome instancia 30</t>
  </si>
  <si>
    <t>Com esses dados fictícios, a melhor abordagem implementada é a Reativa, que apresentou resultados mais próximos da melhor solução (best). Quando aparece 0% na coluna de um algoritmo, isso indica que, para aquela instância, o algoritmo encontrou o melhor resultado.</t>
  </si>
  <si>
    <t>Tabela 2: Desvio percentual em relação a melhor solução (best)</t>
  </si>
  <si>
    <t>literatura</t>
  </si>
  <si>
    <t>Média</t>
  </si>
  <si>
    <t>INSIRA O NUMERO DE CASAS DECIMAIS QUE DEVERÁ SER UTILIZADO NA IMPRESSÃO DA COLUNA BEST:</t>
  </si>
  <si>
    <t>INSIRA O NUMERO DE CASAS DECIMAIS QUE DEVERÁ SER UTILIZADO NA IMPRESSÃO DOS PERCENTUAIS:</t>
  </si>
  <si>
    <t>LINHAS DAS MÉDIAS DE CADA ALGORITMO EM LATEX (ÚLTIMA LINHA DA TABELA):</t>
  </si>
  <si>
    <t xml:space="preserve"> </t>
  </si>
  <si>
    <t>\textbf{Média}</t>
  </si>
  <si>
    <t>LINHAS DAS INSTANCIAS EM LATEX: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</si>
</sst>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b/>
      <sz val="18.0"/>
      <color theme="1"/>
      <name val="Calibri"/>
    </font>
    <font>
      <sz val="12.0"/>
      <color theme="1"/>
      <name val="Calibri"/>
    </font>
    <font/>
    <font>
      <b/>
      <sz val="12.0"/>
      <color theme="1"/>
      <name val="Calibri"/>
    </font>
    <font>
      <sz val="12.0"/>
      <color theme="4"/>
      <name val="Calibri"/>
    </font>
    <font>
      <sz val="12.0"/>
      <color rgb="FF4472C4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2" numFmtId="0" xfId="0" applyAlignment="1" applyBorder="1" applyFont="1">
      <alignment horizontal="center"/>
    </xf>
    <xf borderId="7" fillId="2" fontId="2" numFmtId="0" xfId="0" applyBorder="1" applyFill="1" applyFont="1"/>
    <xf borderId="7" fillId="2" fontId="4" numFmtId="0" xfId="0" applyAlignment="1" applyBorder="1" applyFont="1">
      <alignment horizontal="center"/>
    </xf>
    <xf borderId="7" fillId="2" fontId="2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/>
    </xf>
    <xf borderId="7" fillId="2" fontId="6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0" fillId="0" fontId="7" numFmtId="0" xfId="0" applyAlignment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2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/>
    </xf>
    <xf borderId="7" fillId="0" fontId="2" numFmtId="0" xfId="0" applyBorder="1" applyFont="1"/>
    <xf borderId="7" fillId="0" fontId="2" numFmtId="9" xfId="0" applyAlignment="1" applyBorder="1" applyFont="1" applyNumberFormat="1">
      <alignment horizontal="center"/>
    </xf>
    <xf borderId="4" fillId="3" fontId="2" numFmtId="0" xfId="0" applyBorder="1" applyFont="1"/>
    <xf borderId="5" fillId="3" fontId="2" numFmtId="9" xfId="0" applyBorder="1" applyFont="1" applyNumberFormat="1"/>
    <xf borderId="8" fillId="4" fontId="2" numFmtId="0" xfId="0" applyBorder="1" applyFill="1" applyFont="1"/>
    <xf borderId="8" fillId="4" fontId="4" numFmtId="0" xfId="0" applyAlignment="1" applyBorder="1" applyFont="1">
      <alignment horizontal="right"/>
    </xf>
    <xf borderId="7" fillId="5" fontId="4" numFmtId="0" xfId="0" applyBorder="1" applyFill="1" applyFont="1"/>
    <xf borderId="7" fillId="5" fontId="4" numFmtId="0" xfId="0" applyAlignment="1" applyBorder="1" applyFont="1">
      <alignment readingOrder="0"/>
    </xf>
    <xf borderId="8" fillId="4" fontId="4" numFmtId="0" xfId="0" applyAlignment="1" applyBorder="1" applyFont="1">
      <alignment readingOrder="0"/>
    </xf>
    <xf borderId="0" fillId="0" fontId="9" numFmtId="0" xfId="0" applyFont="1"/>
    <xf borderId="8" fillId="4" fontId="2" numFmtId="0" xfId="0" applyAlignment="1" applyBorder="1" applyFont="1">
      <alignment readingOrder="0"/>
    </xf>
    <xf borderId="8" fillId="4" fontId="4" numFmtId="0" xfId="0" applyBorder="1" applyFont="1"/>
    <xf borderId="0" fillId="4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56"/>
    <col customWidth="1" min="2" max="2" width="10.78"/>
    <col customWidth="1" min="3" max="26" width="10.56"/>
  </cols>
  <sheetData>
    <row r="1" ht="24.0" customHeight="1">
      <c r="B1" s="1"/>
    </row>
    <row r="2" ht="24.0" customHeight="1">
      <c r="B2" s="1"/>
    </row>
    <row r="3" ht="24.0" customHeight="1">
      <c r="B3" s="1" t="s">
        <v>0</v>
      </c>
    </row>
    <row r="4" ht="24.0" customHeight="1">
      <c r="B4" s="1"/>
    </row>
    <row r="5" ht="24.0" customHeight="1">
      <c r="B5" s="1" t="s">
        <v>1</v>
      </c>
    </row>
    <row r="6" ht="24.0" customHeight="1">
      <c r="B6" s="2" t="s">
        <v>2</v>
      </c>
    </row>
    <row r="7" ht="24.0" customHeight="1">
      <c r="B7" s="2" t="s">
        <v>3</v>
      </c>
    </row>
    <row r="8" ht="24.0" customHeight="1">
      <c r="B8" s="2" t="s">
        <v>4</v>
      </c>
    </row>
    <row r="9" ht="24.0" customHeight="1">
      <c r="B9" s="1"/>
    </row>
    <row r="10" ht="24.0" customHeight="1">
      <c r="B10" s="1" t="s">
        <v>5</v>
      </c>
    </row>
    <row r="11" ht="24.0" customHeight="1">
      <c r="B11" s="1" t="s">
        <v>6</v>
      </c>
    </row>
    <row r="12" ht="24.0" customHeight="1">
      <c r="B12" s="1"/>
    </row>
    <row r="13" ht="24.0" customHeight="1">
      <c r="B13" s="1" t="s">
        <v>7</v>
      </c>
    </row>
    <row r="14" ht="24.0" customHeight="1">
      <c r="B14" s="1" t="s">
        <v>8</v>
      </c>
    </row>
    <row r="15" ht="24.0" customHeight="1">
      <c r="B15" s="1" t="s">
        <v>9</v>
      </c>
    </row>
    <row r="16" ht="24.0" customHeight="1">
      <c r="B16" s="2" t="s">
        <v>10</v>
      </c>
    </row>
    <row r="17" ht="24.0" customHeight="1">
      <c r="B17" s="2" t="s">
        <v>11</v>
      </c>
    </row>
    <row r="18" ht="24.0" customHeight="1">
      <c r="B18" s="1"/>
    </row>
    <row r="19" ht="24.0" customHeight="1">
      <c r="B19" s="1"/>
    </row>
    <row r="20" ht="24.0" customHeight="1">
      <c r="B20" s="1"/>
    </row>
    <row r="21" ht="24.0" customHeight="1">
      <c r="B21" s="1"/>
    </row>
    <row r="22" ht="24.0" customHeight="1">
      <c r="B22" s="1"/>
    </row>
    <row r="23" ht="24.0" customHeight="1">
      <c r="B23" s="1"/>
    </row>
    <row r="24" ht="24.0" customHeight="1">
      <c r="B24" s="1"/>
    </row>
    <row r="25" ht="24.0" customHeight="1">
      <c r="B25" s="1"/>
    </row>
    <row r="26" ht="24.0" customHeight="1">
      <c r="B26" s="1"/>
    </row>
    <row r="27" ht="24.0" customHeight="1">
      <c r="B27" s="1"/>
    </row>
    <row r="28" ht="24.0" customHeight="1">
      <c r="B28" s="1"/>
    </row>
    <row r="29" ht="24.0" customHeight="1">
      <c r="B29" s="1"/>
    </row>
    <row r="30" ht="24.0" customHeight="1">
      <c r="B30" s="1"/>
    </row>
    <row r="31" ht="24.0" customHeight="1">
      <c r="B31" s="1"/>
    </row>
    <row r="32" ht="24.0" customHeight="1">
      <c r="B32" s="1"/>
    </row>
    <row r="33" ht="24.0" customHeight="1">
      <c r="B33" s="1"/>
    </row>
    <row r="34" ht="24.0" customHeight="1">
      <c r="B34" s="1"/>
    </row>
    <row r="35" ht="24.0" customHeight="1">
      <c r="B35" s="1"/>
    </row>
    <row r="36" ht="24.0" customHeight="1">
      <c r="B36" s="1"/>
    </row>
    <row r="37" ht="24.0" customHeight="1">
      <c r="B37" s="1"/>
    </row>
    <row r="38" ht="24.0" customHeight="1">
      <c r="B38" s="1"/>
    </row>
    <row r="39" ht="24.0" customHeight="1">
      <c r="B39" s="1"/>
    </row>
    <row r="40" ht="24.0" customHeight="1">
      <c r="B40" s="1"/>
    </row>
    <row r="41" ht="24.0" customHeight="1">
      <c r="B41" s="1"/>
    </row>
    <row r="42" ht="24.0" customHeight="1">
      <c r="B42" s="1"/>
    </row>
    <row r="43" ht="24.0" customHeight="1">
      <c r="B43" s="1"/>
    </row>
    <row r="44" ht="24.0" customHeight="1">
      <c r="B44" s="1"/>
    </row>
    <row r="45" ht="24.0" customHeight="1">
      <c r="B45" s="1"/>
    </row>
    <row r="46" ht="24.0" customHeight="1">
      <c r="B46" s="1"/>
    </row>
    <row r="47" ht="24.0" customHeight="1">
      <c r="B47" s="1"/>
    </row>
    <row r="48" ht="24.0" customHeight="1">
      <c r="B48" s="1"/>
    </row>
    <row r="49" ht="24.0" customHeight="1">
      <c r="B49" s="1"/>
    </row>
    <row r="50" ht="24.0" customHeight="1">
      <c r="B50" s="1"/>
    </row>
    <row r="51" ht="24.0" customHeight="1">
      <c r="B51" s="1"/>
    </row>
    <row r="52" ht="24.0" customHeight="1">
      <c r="B52" s="1"/>
    </row>
    <row r="53" ht="24.0" customHeight="1">
      <c r="B53" s="1"/>
    </row>
    <row r="54" ht="24.0" customHeight="1">
      <c r="B54" s="1"/>
    </row>
    <row r="55" ht="24.0" customHeight="1">
      <c r="B55" s="1"/>
    </row>
    <row r="56" ht="24.0" customHeight="1">
      <c r="B56" s="1"/>
    </row>
    <row r="57" ht="24.0" customHeight="1">
      <c r="B57" s="1"/>
    </row>
    <row r="58" ht="24.0" customHeight="1">
      <c r="B58" s="1"/>
    </row>
    <row r="59" ht="24.0" customHeight="1">
      <c r="B59" s="1"/>
    </row>
    <row r="60" ht="24.0" customHeight="1">
      <c r="B60" s="1"/>
    </row>
    <row r="61" ht="24.0" customHeight="1">
      <c r="B61" s="1"/>
    </row>
    <row r="62" ht="24.0" customHeight="1">
      <c r="B62" s="1"/>
    </row>
    <row r="63" ht="24.0" customHeight="1">
      <c r="B63" s="1"/>
    </row>
    <row r="64" ht="24.0" customHeight="1">
      <c r="B64" s="1"/>
    </row>
    <row r="65" ht="24.0" customHeight="1">
      <c r="B65" s="1"/>
    </row>
    <row r="66" ht="24.0" customHeight="1">
      <c r="B66" s="1"/>
    </row>
    <row r="67" ht="24.0" customHeight="1">
      <c r="B67" s="1"/>
    </row>
    <row r="68" ht="24.0" customHeight="1">
      <c r="B68" s="1"/>
    </row>
    <row r="69" ht="24.0" customHeight="1">
      <c r="B69" s="1"/>
    </row>
    <row r="70" ht="24.0" customHeight="1">
      <c r="B70" s="1"/>
    </row>
    <row r="71" ht="24.0" customHeight="1">
      <c r="B71" s="1"/>
    </row>
    <row r="72" ht="24.0" customHeight="1">
      <c r="B72" s="1"/>
    </row>
    <row r="73" ht="24.0" customHeight="1">
      <c r="B73" s="1"/>
    </row>
    <row r="74" ht="24.0" customHeight="1">
      <c r="B74" s="1"/>
    </row>
    <row r="75" ht="24.0" customHeight="1">
      <c r="B75" s="1"/>
    </row>
    <row r="76" ht="24.0" customHeight="1">
      <c r="B76" s="1"/>
    </row>
    <row r="77" ht="24.0" customHeight="1">
      <c r="B77" s="1"/>
    </row>
    <row r="78" ht="24.0" customHeight="1">
      <c r="B78" s="1"/>
    </row>
    <row r="79" ht="24.0" customHeight="1">
      <c r="B79" s="1"/>
    </row>
    <row r="80" ht="24.0" customHeight="1">
      <c r="B80" s="1"/>
    </row>
    <row r="81" ht="24.0" customHeight="1">
      <c r="B81" s="1"/>
    </row>
    <row r="82" ht="24.0" customHeight="1">
      <c r="B82" s="1"/>
    </row>
    <row r="83" ht="24.0" customHeight="1">
      <c r="B83" s="1"/>
    </row>
    <row r="84" ht="24.0" customHeight="1">
      <c r="B84" s="1"/>
    </row>
    <row r="85" ht="24.0" customHeight="1">
      <c r="B85" s="1"/>
    </row>
    <row r="86" ht="24.0" customHeight="1">
      <c r="B86" s="1"/>
    </row>
    <row r="87" ht="24.0" customHeight="1">
      <c r="B87" s="1"/>
    </row>
    <row r="88" ht="24.0" customHeight="1">
      <c r="B88" s="1"/>
    </row>
    <row r="89" ht="24.0" customHeight="1">
      <c r="B89" s="1"/>
    </row>
    <row r="90" ht="24.0" customHeight="1">
      <c r="B90" s="1"/>
    </row>
    <row r="91" ht="24.0" customHeight="1">
      <c r="B91" s="1"/>
    </row>
    <row r="92" ht="24.0" customHeight="1">
      <c r="B92" s="1"/>
    </row>
    <row r="93" ht="24.0" customHeight="1">
      <c r="B93" s="1"/>
    </row>
    <row r="94" ht="24.0" customHeight="1">
      <c r="B94" s="1"/>
    </row>
    <row r="95" ht="24.0" customHeight="1">
      <c r="B95" s="1"/>
    </row>
    <row r="96" ht="24.0" customHeight="1">
      <c r="B96" s="1"/>
    </row>
    <row r="97" ht="24.0" customHeight="1">
      <c r="B97" s="1"/>
    </row>
    <row r="98" ht="24.0" customHeight="1">
      <c r="B98" s="1"/>
    </row>
    <row r="99" ht="24.0" customHeight="1">
      <c r="B99" s="1"/>
    </row>
    <row r="100" ht="24.0" customHeight="1">
      <c r="B100" s="1"/>
    </row>
    <row r="101" ht="24.0" customHeight="1">
      <c r="B101" s="1"/>
    </row>
    <row r="102" ht="24.0" customHeight="1">
      <c r="B102" s="1"/>
    </row>
    <row r="103" ht="24.0" customHeight="1">
      <c r="B103" s="1"/>
    </row>
    <row r="104" ht="24.0" customHeight="1">
      <c r="B104" s="1"/>
    </row>
    <row r="105" ht="24.0" customHeight="1">
      <c r="B105" s="1"/>
    </row>
    <row r="106" ht="24.0" customHeight="1">
      <c r="B106" s="1"/>
    </row>
    <row r="107" ht="24.0" customHeight="1">
      <c r="B107" s="1"/>
    </row>
    <row r="108" ht="24.0" customHeight="1">
      <c r="B108" s="1"/>
    </row>
    <row r="109" ht="24.0" customHeight="1">
      <c r="B109" s="1"/>
    </row>
    <row r="110" ht="24.0" customHeight="1">
      <c r="B110" s="1"/>
    </row>
    <row r="111" ht="24.0" customHeight="1">
      <c r="B111" s="1"/>
    </row>
    <row r="112" ht="24.0" customHeight="1">
      <c r="B112" s="1"/>
    </row>
    <row r="113" ht="24.0" customHeight="1">
      <c r="B113" s="1"/>
    </row>
    <row r="114" ht="24.0" customHeight="1">
      <c r="B114" s="1"/>
    </row>
    <row r="115" ht="24.0" customHeight="1">
      <c r="B115" s="1"/>
    </row>
    <row r="116" ht="24.0" customHeight="1">
      <c r="B116" s="1"/>
    </row>
    <row r="117" ht="24.0" customHeight="1">
      <c r="B117" s="1"/>
    </row>
    <row r="118" ht="24.0" customHeight="1">
      <c r="B118" s="1"/>
    </row>
    <row r="119" ht="24.0" customHeight="1">
      <c r="B119" s="1"/>
    </row>
    <row r="120" ht="24.0" customHeight="1">
      <c r="B120" s="1"/>
    </row>
    <row r="121" ht="24.0" customHeight="1">
      <c r="B121" s="1"/>
    </row>
    <row r="122" ht="24.0" customHeight="1">
      <c r="B122" s="1"/>
    </row>
    <row r="123" ht="24.0" customHeight="1">
      <c r="B123" s="1"/>
    </row>
    <row r="124" ht="24.0" customHeight="1">
      <c r="B124" s="1"/>
    </row>
    <row r="125" ht="24.0" customHeight="1">
      <c r="B125" s="1"/>
    </row>
    <row r="126" ht="24.0" customHeight="1">
      <c r="B126" s="1"/>
    </row>
    <row r="127" ht="24.0" customHeight="1">
      <c r="B127" s="1"/>
    </row>
    <row r="128" ht="24.0" customHeight="1">
      <c r="B128" s="1"/>
    </row>
    <row r="129" ht="24.0" customHeight="1">
      <c r="B129" s="1"/>
    </row>
    <row r="130" ht="24.0" customHeight="1">
      <c r="B130" s="1"/>
    </row>
    <row r="131" ht="24.0" customHeight="1">
      <c r="B131" s="1"/>
    </row>
    <row r="132" ht="24.0" customHeight="1">
      <c r="B132" s="1"/>
    </row>
    <row r="133" ht="24.0" customHeight="1">
      <c r="B133" s="1"/>
    </row>
    <row r="134" ht="24.0" customHeight="1">
      <c r="B134" s="1"/>
    </row>
    <row r="135" ht="24.0" customHeight="1">
      <c r="B135" s="1"/>
    </row>
    <row r="136" ht="24.0" customHeight="1">
      <c r="B136" s="1"/>
    </row>
    <row r="137" ht="24.0" customHeight="1">
      <c r="B137" s="1"/>
    </row>
    <row r="138" ht="24.0" customHeight="1">
      <c r="B138" s="1"/>
    </row>
    <row r="139" ht="24.0" customHeight="1">
      <c r="B139" s="1"/>
    </row>
    <row r="140" ht="24.0" customHeight="1">
      <c r="B140" s="1"/>
    </row>
    <row r="141" ht="24.0" customHeight="1">
      <c r="B141" s="1"/>
    </row>
    <row r="142" ht="24.0" customHeight="1">
      <c r="B142" s="1"/>
    </row>
    <row r="143" ht="24.0" customHeight="1">
      <c r="B143" s="1"/>
    </row>
    <row r="144" ht="24.0" customHeight="1">
      <c r="B144" s="1"/>
    </row>
    <row r="145" ht="24.0" customHeight="1">
      <c r="B145" s="1"/>
    </row>
    <row r="146" ht="24.0" customHeight="1">
      <c r="B146" s="1"/>
    </row>
    <row r="147" ht="24.0" customHeight="1">
      <c r="B147" s="1"/>
    </row>
    <row r="148" ht="24.0" customHeight="1">
      <c r="B148" s="1"/>
    </row>
    <row r="149" ht="24.0" customHeight="1">
      <c r="B149" s="1"/>
    </row>
    <row r="150" ht="24.0" customHeight="1">
      <c r="B150" s="1"/>
    </row>
    <row r="151" ht="24.0" customHeight="1">
      <c r="B151" s="1"/>
    </row>
    <row r="152" ht="24.0" customHeight="1">
      <c r="B152" s="1"/>
    </row>
    <row r="153" ht="24.0" customHeight="1">
      <c r="B153" s="1"/>
    </row>
    <row r="154" ht="24.0" customHeight="1">
      <c r="B154" s="1"/>
    </row>
    <row r="155" ht="24.0" customHeight="1">
      <c r="B155" s="1"/>
    </row>
    <row r="156" ht="24.0" customHeight="1">
      <c r="B156" s="1"/>
    </row>
    <row r="157" ht="24.0" customHeight="1">
      <c r="B157" s="1"/>
    </row>
    <row r="158" ht="24.0" customHeight="1">
      <c r="B158" s="1"/>
    </row>
    <row r="159" ht="24.0" customHeight="1">
      <c r="B159" s="1"/>
    </row>
    <row r="160" ht="24.0" customHeight="1">
      <c r="B160" s="1"/>
    </row>
    <row r="161" ht="24.0" customHeight="1">
      <c r="B161" s="1"/>
    </row>
    <row r="162" ht="24.0" customHeight="1">
      <c r="B162" s="1"/>
    </row>
    <row r="163" ht="24.0" customHeight="1">
      <c r="B163" s="1"/>
    </row>
    <row r="164" ht="24.0" customHeight="1">
      <c r="B164" s="1"/>
    </row>
    <row r="165" ht="24.0" customHeight="1">
      <c r="B165" s="1"/>
    </row>
    <row r="166" ht="24.0" customHeight="1">
      <c r="B166" s="1"/>
    </row>
    <row r="167" ht="24.0" customHeight="1">
      <c r="B167" s="1"/>
    </row>
    <row r="168" ht="24.0" customHeight="1">
      <c r="B168" s="1"/>
    </row>
    <row r="169" ht="24.0" customHeight="1">
      <c r="B169" s="1"/>
    </row>
    <row r="170" ht="24.0" customHeight="1">
      <c r="B170" s="1"/>
    </row>
    <row r="171" ht="24.0" customHeight="1">
      <c r="B171" s="1"/>
    </row>
    <row r="172" ht="24.0" customHeight="1">
      <c r="B172" s="1"/>
    </row>
    <row r="173" ht="24.0" customHeight="1">
      <c r="B173" s="1"/>
    </row>
    <row r="174" ht="24.0" customHeight="1">
      <c r="B174" s="1"/>
    </row>
    <row r="175" ht="24.0" customHeight="1">
      <c r="B175" s="1"/>
    </row>
    <row r="176" ht="24.0" customHeight="1">
      <c r="B176" s="1"/>
    </row>
    <row r="177" ht="24.0" customHeight="1">
      <c r="B177" s="1"/>
    </row>
    <row r="178" ht="24.0" customHeight="1">
      <c r="B178" s="1"/>
    </row>
    <row r="179" ht="24.0" customHeight="1">
      <c r="B179" s="1"/>
    </row>
    <row r="180" ht="24.0" customHeight="1">
      <c r="B180" s="1"/>
    </row>
    <row r="181" ht="24.0" customHeight="1">
      <c r="B181" s="1"/>
    </row>
    <row r="182" ht="24.0" customHeight="1">
      <c r="B182" s="1"/>
    </row>
    <row r="183" ht="24.0" customHeight="1">
      <c r="B183" s="1"/>
    </row>
    <row r="184" ht="24.0" customHeight="1">
      <c r="B184" s="1"/>
    </row>
    <row r="185" ht="24.0" customHeight="1">
      <c r="B185" s="1"/>
    </row>
    <row r="186" ht="24.0" customHeight="1">
      <c r="B186" s="1"/>
    </row>
    <row r="187" ht="24.0" customHeight="1">
      <c r="B187" s="1"/>
    </row>
    <row r="188" ht="24.0" customHeight="1">
      <c r="B188" s="1"/>
    </row>
    <row r="189" ht="24.0" customHeight="1">
      <c r="B189" s="1"/>
    </row>
    <row r="190" ht="24.0" customHeight="1">
      <c r="B190" s="1"/>
    </row>
    <row r="191" ht="24.0" customHeight="1">
      <c r="B191" s="1"/>
    </row>
    <row r="192" ht="24.0" customHeight="1">
      <c r="B192" s="1"/>
    </row>
    <row r="193" ht="24.0" customHeight="1">
      <c r="B193" s="1"/>
    </row>
    <row r="194" ht="24.0" customHeight="1">
      <c r="B194" s="1"/>
    </row>
    <row r="195" ht="24.0" customHeight="1">
      <c r="B195" s="1"/>
    </row>
    <row r="196" ht="24.0" customHeight="1">
      <c r="B196" s="1"/>
    </row>
    <row r="197" ht="24.0" customHeight="1">
      <c r="B197" s="1"/>
    </row>
    <row r="198" ht="24.0" customHeight="1">
      <c r="B198" s="1"/>
    </row>
    <row r="199" ht="24.0" customHeight="1">
      <c r="B199" s="1"/>
    </row>
    <row r="200" ht="24.0" customHeight="1">
      <c r="B200" s="1"/>
    </row>
    <row r="201" ht="24.0" customHeight="1">
      <c r="B201" s="1"/>
    </row>
    <row r="202" ht="24.0" customHeight="1">
      <c r="B202" s="1"/>
    </row>
    <row r="203" ht="24.0" customHeight="1">
      <c r="B203" s="1"/>
    </row>
    <row r="204" ht="24.0" customHeight="1">
      <c r="B204" s="1"/>
    </row>
    <row r="205" ht="24.0" customHeight="1">
      <c r="B205" s="1"/>
    </row>
    <row r="206" ht="24.0" customHeight="1">
      <c r="B206" s="1"/>
    </row>
    <row r="207" ht="24.0" customHeight="1">
      <c r="B207" s="1"/>
    </row>
    <row r="208" ht="24.0" customHeight="1">
      <c r="B208" s="1"/>
    </row>
    <row r="209" ht="24.0" customHeight="1">
      <c r="B209" s="1"/>
    </row>
    <row r="210" ht="24.0" customHeight="1">
      <c r="B210" s="1"/>
    </row>
    <row r="211" ht="24.0" customHeight="1">
      <c r="B211" s="1"/>
    </row>
    <row r="212" ht="24.0" customHeight="1">
      <c r="B212" s="1"/>
    </row>
    <row r="213" ht="24.0" customHeight="1">
      <c r="B213" s="1"/>
    </row>
    <row r="214" ht="24.0" customHeight="1">
      <c r="B214" s="1"/>
    </row>
    <row r="215" ht="24.0" customHeight="1">
      <c r="B215" s="1"/>
    </row>
    <row r="216" ht="24.0" customHeight="1">
      <c r="B216" s="1"/>
    </row>
    <row r="217" ht="24.0" customHeight="1">
      <c r="B217" s="1"/>
    </row>
    <row r="218" ht="24.0" customHeight="1">
      <c r="B218" s="1"/>
    </row>
    <row r="219" ht="24.0" customHeight="1">
      <c r="B219" s="1"/>
    </row>
    <row r="220" ht="24.0" customHeight="1">
      <c r="B220" s="1"/>
    </row>
    <row r="221" ht="24.0" customHeight="1">
      <c r="B221" s="1"/>
    </row>
    <row r="222" ht="24.0" customHeight="1">
      <c r="B222" s="1"/>
    </row>
    <row r="223" ht="24.0" customHeight="1">
      <c r="B223" s="1"/>
    </row>
    <row r="224" ht="24.0" customHeight="1">
      <c r="B224" s="1"/>
    </row>
    <row r="225" ht="24.0" customHeight="1">
      <c r="B225" s="1"/>
    </row>
    <row r="226" ht="24.0" customHeight="1">
      <c r="B226" s="1"/>
    </row>
    <row r="227" ht="24.0" customHeight="1">
      <c r="B227" s="1"/>
    </row>
    <row r="228" ht="24.0" customHeight="1">
      <c r="B228" s="1"/>
    </row>
    <row r="229" ht="24.0" customHeight="1">
      <c r="B229" s="1"/>
    </row>
    <row r="230" ht="24.0" customHeight="1">
      <c r="B230" s="1"/>
    </row>
    <row r="231" ht="24.0" customHeight="1">
      <c r="B231" s="1"/>
    </row>
    <row r="232" ht="24.0" customHeight="1">
      <c r="B232" s="1"/>
    </row>
    <row r="233" ht="24.0" customHeight="1">
      <c r="B233" s="1"/>
    </row>
    <row r="234" ht="24.0" customHeight="1">
      <c r="B234" s="1"/>
    </row>
    <row r="235" ht="24.0" customHeight="1">
      <c r="B235" s="1"/>
    </row>
    <row r="236" ht="24.0" customHeight="1">
      <c r="B236" s="1"/>
    </row>
    <row r="237" ht="24.0" customHeight="1">
      <c r="B237" s="1"/>
    </row>
    <row r="238" ht="24.0" customHeight="1">
      <c r="B238" s="1"/>
    </row>
    <row r="239" ht="24.0" customHeight="1">
      <c r="B239" s="1"/>
    </row>
    <row r="240" ht="24.0" customHeight="1">
      <c r="B240" s="1"/>
    </row>
    <row r="241" ht="24.0" customHeight="1">
      <c r="B241" s="1"/>
    </row>
    <row r="242" ht="24.0" customHeight="1">
      <c r="B242" s="1"/>
    </row>
    <row r="243" ht="24.0" customHeight="1">
      <c r="B243" s="1"/>
    </row>
    <row r="244" ht="24.0" customHeight="1">
      <c r="B244" s="1"/>
    </row>
    <row r="245" ht="24.0" customHeight="1">
      <c r="B245" s="1"/>
    </row>
    <row r="246" ht="24.0" customHeight="1">
      <c r="B246" s="1"/>
    </row>
    <row r="247" ht="24.0" customHeight="1">
      <c r="B247" s="1"/>
    </row>
    <row r="248" ht="24.0" customHeight="1">
      <c r="B248" s="1"/>
    </row>
    <row r="249" ht="24.0" customHeight="1">
      <c r="B249" s="1"/>
    </row>
    <row r="250" ht="24.0" customHeight="1">
      <c r="B250" s="1"/>
    </row>
    <row r="251" ht="24.0" customHeight="1">
      <c r="B251" s="1"/>
    </row>
    <row r="252" ht="24.0" customHeight="1">
      <c r="B252" s="1"/>
    </row>
    <row r="253" ht="24.0" customHeight="1">
      <c r="B253" s="1"/>
    </row>
    <row r="254" ht="24.0" customHeight="1">
      <c r="B254" s="1"/>
    </row>
    <row r="255" ht="24.0" customHeight="1">
      <c r="B255" s="1"/>
    </row>
    <row r="256" ht="24.0" customHeight="1">
      <c r="B256" s="1"/>
    </row>
    <row r="257" ht="24.0" customHeight="1">
      <c r="B257" s="1"/>
    </row>
    <row r="258" ht="24.0" customHeight="1">
      <c r="B258" s="1"/>
    </row>
    <row r="259" ht="24.0" customHeight="1">
      <c r="B259" s="1"/>
    </row>
    <row r="260" ht="24.0" customHeight="1">
      <c r="B260" s="1"/>
    </row>
    <row r="261" ht="24.0" customHeight="1">
      <c r="B261" s="1"/>
    </row>
    <row r="262" ht="24.0" customHeight="1">
      <c r="B262" s="1"/>
    </row>
    <row r="263" ht="24.0" customHeight="1">
      <c r="B263" s="1"/>
    </row>
    <row r="264" ht="24.0" customHeight="1">
      <c r="B264" s="1"/>
    </row>
    <row r="265" ht="24.0" customHeight="1">
      <c r="B265" s="1"/>
    </row>
    <row r="266" ht="24.0" customHeight="1">
      <c r="B266" s="1"/>
    </row>
    <row r="267" ht="24.0" customHeight="1">
      <c r="B267" s="1"/>
    </row>
    <row r="268" ht="24.0" customHeight="1">
      <c r="B268" s="1"/>
    </row>
    <row r="269" ht="24.0" customHeight="1">
      <c r="B269" s="1"/>
    </row>
    <row r="270" ht="24.0" customHeight="1">
      <c r="B270" s="1"/>
    </row>
    <row r="271" ht="24.0" customHeight="1">
      <c r="B271" s="1"/>
    </row>
    <row r="272" ht="24.0" customHeight="1">
      <c r="B272" s="1"/>
    </row>
    <row r="273" ht="24.0" customHeight="1">
      <c r="B273" s="1"/>
    </row>
    <row r="274" ht="24.0" customHeight="1">
      <c r="B274" s="1"/>
    </row>
    <row r="275" ht="24.0" customHeight="1">
      <c r="B275" s="1"/>
    </row>
    <row r="276" ht="24.0" customHeight="1">
      <c r="B276" s="1"/>
    </row>
    <row r="277" ht="24.0" customHeight="1">
      <c r="B277" s="1"/>
    </row>
    <row r="278" ht="24.0" customHeight="1">
      <c r="B278" s="1"/>
    </row>
    <row r="279" ht="24.0" customHeight="1">
      <c r="B279" s="1"/>
    </row>
    <row r="280" ht="24.0" customHeight="1">
      <c r="B280" s="1"/>
    </row>
    <row r="281" ht="24.0" customHeight="1">
      <c r="B281" s="1"/>
    </row>
    <row r="282" ht="24.0" customHeight="1">
      <c r="B282" s="1"/>
    </row>
    <row r="283" ht="24.0" customHeight="1">
      <c r="B283" s="1"/>
    </row>
    <row r="284" ht="24.0" customHeight="1">
      <c r="B284" s="1"/>
    </row>
    <row r="285" ht="24.0" customHeight="1">
      <c r="B285" s="1"/>
    </row>
    <row r="286" ht="24.0" customHeight="1">
      <c r="B286" s="1"/>
    </row>
    <row r="287" ht="24.0" customHeight="1">
      <c r="B287" s="1"/>
    </row>
    <row r="288" ht="24.0" customHeight="1">
      <c r="B288" s="1"/>
    </row>
    <row r="289" ht="24.0" customHeight="1">
      <c r="B289" s="1"/>
    </row>
    <row r="290" ht="24.0" customHeight="1">
      <c r="B290" s="1"/>
    </row>
    <row r="291" ht="24.0" customHeight="1">
      <c r="B291" s="1"/>
    </row>
    <row r="292" ht="24.0" customHeight="1">
      <c r="B292" s="1"/>
    </row>
    <row r="293" ht="24.0" customHeight="1">
      <c r="B293" s="1"/>
    </row>
    <row r="294" ht="24.0" customHeight="1">
      <c r="B294" s="1"/>
    </row>
    <row r="295" ht="24.0" customHeight="1">
      <c r="B295" s="1"/>
    </row>
    <row r="296" ht="24.0" customHeight="1">
      <c r="B296" s="1"/>
    </row>
    <row r="297" ht="24.0" customHeight="1">
      <c r="B297" s="1"/>
    </row>
    <row r="298" ht="24.0" customHeight="1">
      <c r="B298" s="1"/>
    </row>
    <row r="299" ht="24.0" customHeight="1">
      <c r="B299" s="1"/>
    </row>
    <row r="300" ht="24.0" customHeight="1">
      <c r="B300" s="1"/>
    </row>
    <row r="301" ht="24.0" customHeight="1">
      <c r="B301" s="1"/>
    </row>
    <row r="302" ht="24.0" customHeight="1">
      <c r="B302" s="1"/>
    </row>
    <row r="303" ht="24.0" customHeight="1">
      <c r="B303" s="1"/>
    </row>
    <row r="304" ht="24.0" customHeight="1">
      <c r="B304" s="1"/>
    </row>
    <row r="305" ht="24.0" customHeight="1">
      <c r="B305" s="1"/>
    </row>
    <row r="306" ht="24.0" customHeight="1">
      <c r="B306" s="1"/>
    </row>
    <row r="307" ht="24.0" customHeight="1">
      <c r="B307" s="1"/>
    </row>
    <row r="308" ht="24.0" customHeight="1">
      <c r="B308" s="1"/>
    </row>
    <row r="309" ht="24.0" customHeight="1">
      <c r="B309" s="1"/>
    </row>
    <row r="310" ht="24.0" customHeight="1">
      <c r="B310" s="1"/>
    </row>
    <row r="311" ht="24.0" customHeight="1">
      <c r="B311" s="1"/>
    </row>
    <row r="312" ht="24.0" customHeight="1">
      <c r="B312" s="1"/>
    </row>
    <row r="313" ht="24.0" customHeight="1">
      <c r="B313" s="1"/>
    </row>
    <row r="314" ht="24.0" customHeight="1">
      <c r="B314" s="1"/>
    </row>
    <row r="315" ht="24.0" customHeight="1">
      <c r="B315" s="1"/>
    </row>
    <row r="316" ht="24.0" customHeight="1">
      <c r="B316" s="1"/>
    </row>
    <row r="317" ht="24.0" customHeight="1">
      <c r="B317" s="1"/>
    </row>
    <row r="318" ht="24.0" customHeight="1">
      <c r="B318" s="1"/>
    </row>
    <row r="319" ht="24.0" customHeight="1">
      <c r="B319" s="1"/>
    </row>
    <row r="320" ht="24.0" customHeight="1">
      <c r="B320" s="1"/>
    </row>
    <row r="321" ht="24.0" customHeight="1">
      <c r="B321" s="1"/>
    </row>
    <row r="322" ht="24.0" customHeight="1">
      <c r="B322" s="1"/>
    </row>
    <row r="323" ht="24.0" customHeight="1">
      <c r="B323" s="1"/>
    </row>
    <row r="324" ht="24.0" customHeight="1">
      <c r="B324" s="1"/>
    </row>
    <row r="325" ht="24.0" customHeight="1">
      <c r="B325" s="1"/>
    </row>
    <row r="326" ht="24.0" customHeight="1">
      <c r="B326" s="1"/>
    </row>
    <row r="327" ht="24.0" customHeight="1">
      <c r="B327" s="1"/>
    </row>
    <row r="328" ht="24.0" customHeight="1">
      <c r="B328" s="1"/>
    </row>
    <row r="329" ht="24.0" customHeight="1">
      <c r="B329" s="1"/>
    </row>
    <row r="330" ht="24.0" customHeight="1">
      <c r="B330" s="1"/>
    </row>
    <row r="331" ht="24.0" customHeight="1">
      <c r="B331" s="1"/>
    </row>
    <row r="332" ht="24.0" customHeight="1">
      <c r="B332" s="1"/>
    </row>
    <row r="333" ht="24.0" customHeight="1">
      <c r="B333" s="1"/>
    </row>
    <row r="334" ht="24.0" customHeight="1">
      <c r="B334" s="1"/>
    </row>
    <row r="335" ht="24.0" customHeight="1">
      <c r="B335" s="1"/>
    </row>
    <row r="336" ht="24.0" customHeight="1">
      <c r="B336" s="1"/>
    </row>
    <row r="337" ht="24.0" customHeight="1">
      <c r="B337" s="1"/>
    </row>
    <row r="338" ht="24.0" customHeight="1">
      <c r="B338" s="1"/>
    </row>
    <row r="339" ht="24.0" customHeight="1">
      <c r="B339" s="1"/>
    </row>
    <row r="340" ht="24.0" customHeight="1">
      <c r="B340" s="1"/>
    </row>
    <row r="341" ht="24.0" customHeight="1">
      <c r="B341" s="1"/>
    </row>
    <row r="342" ht="24.0" customHeight="1">
      <c r="B342" s="1"/>
    </row>
    <row r="343" ht="24.0" customHeight="1">
      <c r="B343" s="1"/>
    </row>
    <row r="344" ht="24.0" customHeight="1">
      <c r="B344" s="1"/>
    </row>
    <row r="345" ht="24.0" customHeight="1">
      <c r="B345" s="1"/>
    </row>
    <row r="346" ht="24.0" customHeight="1">
      <c r="B346" s="1"/>
    </row>
    <row r="347" ht="24.0" customHeight="1">
      <c r="B347" s="1"/>
    </row>
    <row r="348" ht="24.0" customHeight="1">
      <c r="B348" s="1"/>
    </row>
    <row r="349" ht="24.0" customHeight="1">
      <c r="B349" s="1"/>
    </row>
    <row r="350" ht="24.0" customHeight="1">
      <c r="B350" s="1"/>
    </row>
    <row r="351" ht="24.0" customHeight="1">
      <c r="B351" s="1"/>
    </row>
    <row r="352" ht="24.0" customHeight="1">
      <c r="B352" s="1"/>
    </row>
    <row r="353" ht="24.0" customHeight="1">
      <c r="B353" s="1"/>
    </row>
    <row r="354" ht="24.0" customHeight="1">
      <c r="B354" s="1"/>
    </row>
    <row r="355" ht="24.0" customHeight="1">
      <c r="B355" s="1"/>
    </row>
    <row r="356" ht="24.0" customHeight="1">
      <c r="B356" s="1"/>
    </row>
    <row r="357" ht="24.0" customHeight="1">
      <c r="B357" s="1"/>
    </row>
    <row r="358" ht="24.0" customHeight="1">
      <c r="B358" s="1"/>
    </row>
    <row r="359" ht="24.0" customHeight="1">
      <c r="B359" s="1"/>
    </row>
    <row r="360" ht="24.0" customHeight="1">
      <c r="B360" s="1"/>
    </row>
    <row r="361" ht="24.0" customHeight="1">
      <c r="B361" s="1"/>
    </row>
    <row r="362" ht="24.0" customHeight="1">
      <c r="B362" s="1"/>
    </row>
    <row r="363" ht="24.0" customHeight="1">
      <c r="B363" s="1"/>
    </row>
    <row r="364" ht="24.0" customHeight="1">
      <c r="B364" s="1"/>
    </row>
    <row r="365" ht="24.0" customHeight="1">
      <c r="B365" s="1"/>
    </row>
    <row r="366" ht="24.0" customHeight="1">
      <c r="B366" s="1"/>
    </row>
    <row r="367" ht="24.0" customHeight="1">
      <c r="B367" s="1"/>
    </row>
    <row r="368" ht="24.0" customHeight="1">
      <c r="B368" s="1"/>
    </row>
    <row r="369" ht="24.0" customHeight="1">
      <c r="B369" s="1"/>
    </row>
    <row r="370" ht="24.0" customHeight="1">
      <c r="B370" s="1"/>
    </row>
    <row r="371" ht="24.0" customHeight="1">
      <c r="B371" s="1"/>
    </row>
    <row r="372" ht="24.0" customHeight="1">
      <c r="B372" s="1"/>
    </row>
    <row r="373" ht="24.0" customHeight="1">
      <c r="B373" s="1"/>
    </row>
    <row r="374" ht="24.0" customHeight="1">
      <c r="B374" s="1"/>
    </row>
    <row r="375" ht="24.0" customHeight="1">
      <c r="B375" s="1"/>
    </row>
    <row r="376" ht="24.0" customHeight="1">
      <c r="B376" s="1"/>
    </row>
    <row r="377" ht="24.0" customHeight="1">
      <c r="B377" s="1"/>
    </row>
    <row r="378" ht="24.0" customHeight="1">
      <c r="B378" s="1"/>
    </row>
    <row r="379" ht="24.0" customHeight="1">
      <c r="B379" s="1"/>
    </row>
    <row r="380" ht="24.0" customHeight="1">
      <c r="B380" s="1"/>
    </row>
    <row r="381" ht="24.0" customHeight="1">
      <c r="B381" s="1"/>
    </row>
    <row r="382" ht="24.0" customHeight="1">
      <c r="B382" s="1"/>
    </row>
    <row r="383" ht="24.0" customHeight="1">
      <c r="B383" s="1"/>
    </row>
    <row r="384" ht="24.0" customHeight="1">
      <c r="B384" s="1"/>
    </row>
    <row r="385" ht="24.0" customHeight="1">
      <c r="B385" s="1"/>
    </row>
    <row r="386" ht="24.0" customHeight="1">
      <c r="B386" s="1"/>
    </row>
    <row r="387" ht="24.0" customHeight="1">
      <c r="B387" s="1"/>
    </row>
    <row r="388" ht="24.0" customHeight="1">
      <c r="B388" s="1"/>
    </row>
    <row r="389" ht="24.0" customHeight="1">
      <c r="B389" s="1"/>
    </row>
    <row r="390" ht="24.0" customHeight="1">
      <c r="B390" s="1"/>
    </row>
    <row r="391" ht="24.0" customHeight="1">
      <c r="B391" s="1"/>
    </row>
    <row r="392" ht="24.0" customHeight="1">
      <c r="B392" s="1"/>
    </row>
    <row r="393" ht="24.0" customHeight="1">
      <c r="B393" s="1"/>
    </row>
    <row r="394" ht="24.0" customHeight="1">
      <c r="B394" s="1"/>
    </row>
    <row r="395" ht="24.0" customHeight="1">
      <c r="B395" s="1"/>
    </row>
    <row r="396" ht="24.0" customHeight="1">
      <c r="B396" s="1"/>
    </row>
    <row r="397" ht="24.0" customHeight="1">
      <c r="B397" s="1"/>
    </row>
    <row r="398" ht="24.0" customHeight="1">
      <c r="B398" s="1"/>
    </row>
    <row r="399" ht="24.0" customHeight="1">
      <c r="B399" s="1"/>
    </row>
    <row r="400" ht="24.0" customHeight="1">
      <c r="B400" s="1"/>
    </row>
    <row r="401" ht="24.0" customHeight="1">
      <c r="B401" s="1"/>
    </row>
    <row r="402" ht="24.0" customHeight="1">
      <c r="B402" s="1"/>
    </row>
    <row r="403" ht="24.0" customHeight="1">
      <c r="B403" s="1"/>
    </row>
    <row r="404" ht="24.0" customHeight="1">
      <c r="B404" s="1"/>
    </row>
    <row r="405" ht="24.0" customHeight="1">
      <c r="B405" s="1"/>
    </row>
    <row r="406" ht="24.0" customHeight="1">
      <c r="B406" s="1"/>
    </row>
    <row r="407" ht="24.0" customHeight="1">
      <c r="B407" s="1"/>
    </row>
    <row r="408" ht="24.0" customHeight="1">
      <c r="B408" s="1"/>
    </row>
    <row r="409" ht="24.0" customHeight="1">
      <c r="B409" s="1"/>
    </row>
    <row r="410" ht="24.0" customHeight="1">
      <c r="B410" s="1"/>
    </row>
    <row r="411" ht="24.0" customHeight="1">
      <c r="B411" s="1"/>
    </row>
    <row r="412" ht="24.0" customHeight="1">
      <c r="B412" s="1"/>
    </row>
    <row r="413" ht="24.0" customHeight="1">
      <c r="B413" s="1"/>
    </row>
    <row r="414" ht="24.0" customHeight="1">
      <c r="B414" s="1"/>
    </row>
    <row r="415" ht="24.0" customHeight="1">
      <c r="B415" s="1"/>
    </row>
    <row r="416" ht="24.0" customHeight="1">
      <c r="B416" s="1"/>
    </row>
    <row r="417" ht="24.0" customHeight="1">
      <c r="B417" s="1"/>
    </row>
    <row r="418" ht="24.0" customHeight="1">
      <c r="B418" s="1"/>
    </row>
    <row r="419" ht="24.0" customHeight="1">
      <c r="B419" s="1"/>
    </row>
    <row r="420" ht="24.0" customHeight="1">
      <c r="B420" s="1"/>
    </row>
    <row r="421" ht="24.0" customHeight="1">
      <c r="B421" s="1"/>
    </row>
    <row r="422" ht="24.0" customHeight="1">
      <c r="B422" s="1"/>
    </row>
    <row r="423" ht="24.0" customHeight="1">
      <c r="B423" s="1"/>
    </row>
    <row r="424" ht="24.0" customHeight="1">
      <c r="B424" s="1"/>
    </row>
    <row r="425" ht="24.0" customHeight="1">
      <c r="B425" s="1"/>
    </row>
    <row r="426" ht="24.0" customHeight="1">
      <c r="B426" s="1"/>
    </row>
    <row r="427" ht="24.0" customHeight="1">
      <c r="B427" s="1"/>
    </row>
    <row r="428" ht="24.0" customHeight="1">
      <c r="B428" s="1"/>
    </row>
    <row r="429" ht="24.0" customHeight="1">
      <c r="B429" s="1"/>
    </row>
    <row r="430" ht="24.0" customHeight="1">
      <c r="B430" s="1"/>
    </row>
    <row r="431" ht="24.0" customHeight="1">
      <c r="B431" s="1"/>
    </row>
    <row r="432" ht="24.0" customHeight="1">
      <c r="B432" s="1"/>
    </row>
    <row r="433" ht="24.0" customHeight="1">
      <c r="B433" s="1"/>
    </row>
    <row r="434" ht="24.0" customHeight="1">
      <c r="B434" s="1"/>
    </row>
    <row r="435" ht="24.0" customHeight="1">
      <c r="B435" s="1"/>
    </row>
    <row r="436" ht="24.0" customHeight="1">
      <c r="B436" s="1"/>
    </row>
    <row r="437" ht="24.0" customHeight="1">
      <c r="B437" s="1"/>
    </row>
    <row r="438" ht="24.0" customHeight="1">
      <c r="B438" s="1"/>
    </row>
    <row r="439" ht="24.0" customHeight="1">
      <c r="B439" s="1"/>
    </row>
    <row r="440" ht="24.0" customHeight="1">
      <c r="B440" s="1"/>
    </row>
    <row r="441" ht="24.0" customHeight="1">
      <c r="B441" s="1"/>
    </row>
    <row r="442" ht="24.0" customHeight="1">
      <c r="B442" s="1"/>
    </row>
    <row r="443" ht="24.0" customHeight="1">
      <c r="B443" s="1"/>
    </row>
    <row r="444" ht="24.0" customHeight="1">
      <c r="B444" s="1"/>
    </row>
    <row r="445" ht="24.0" customHeight="1">
      <c r="B445" s="1"/>
    </row>
    <row r="446" ht="24.0" customHeight="1">
      <c r="B446" s="1"/>
    </row>
    <row r="447" ht="24.0" customHeight="1">
      <c r="B447" s="1"/>
    </row>
    <row r="448" ht="24.0" customHeight="1">
      <c r="B448" s="1"/>
    </row>
    <row r="449" ht="24.0" customHeight="1">
      <c r="B449" s="1"/>
    </row>
    <row r="450" ht="24.0" customHeight="1">
      <c r="B450" s="1"/>
    </row>
    <row r="451" ht="24.0" customHeight="1">
      <c r="B451" s="1"/>
    </row>
    <row r="452" ht="24.0" customHeight="1">
      <c r="B452" s="1"/>
    </row>
    <row r="453" ht="24.0" customHeight="1">
      <c r="B453" s="1"/>
    </row>
    <row r="454" ht="24.0" customHeight="1">
      <c r="B454" s="1"/>
    </row>
    <row r="455" ht="24.0" customHeight="1">
      <c r="B455" s="1"/>
    </row>
    <row r="456" ht="24.0" customHeight="1">
      <c r="B456" s="1"/>
    </row>
    <row r="457" ht="24.0" customHeight="1">
      <c r="B457" s="1"/>
    </row>
    <row r="458" ht="24.0" customHeight="1">
      <c r="B458" s="1"/>
    </row>
    <row r="459" ht="24.0" customHeight="1">
      <c r="B459" s="1"/>
    </row>
    <row r="460" ht="24.0" customHeight="1">
      <c r="B460" s="1"/>
    </row>
    <row r="461" ht="24.0" customHeight="1">
      <c r="B461" s="1"/>
    </row>
    <row r="462" ht="24.0" customHeight="1">
      <c r="B462" s="1"/>
    </row>
    <row r="463" ht="24.0" customHeight="1">
      <c r="B463" s="1"/>
    </row>
    <row r="464" ht="24.0" customHeight="1">
      <c r="B464" s="1"/>
    </row>
    <row r="465" ht="24.0" customHeight="1">
      <c r="B465" s="1"/>
    </row>
    <row r="466" ht="24.0" customHeight="1">
      <c r="B466" s="1"/>
    </row>
    <row r="467" ht="24.0" customHeight="1">
      <c r="B467" s="1"/>
    </row>
    <row r="468" ht="24.0" customHeight="1">
      <c r="B468" s="1"/>
    </row>
    <row r="469" ht="24.0" customHeight="1">
      <c r="B469" s="1"/>
    </row>
    <row r="470" ht="24.0" customHeight="1">
      <c r="B470" s="1"/>
    </row>
    <row r="471" ht="24.0" customHeight="1">
      <c r="B471" s="1"/>
    </row>
    <row r="472" ht="24.0" customHeight="1">
      <c r="B472" s="1"/>
    </row>
    <row r="473" ht="24.0" customHeight="1">
      <c r="B473" s="1"/>
    </row>
    <row r="474" ht="24.0" customHeight="1">
      <c r="B474" s="1"/>
    </row>
    <row r="475" ht="24.0" customHeight="1">
      <c r="B475" s="1"/>
    </row>
    <row r="476" ht="24.0" customHeight="1">
      <c r="B476" s="1"/>
    </row>
    <row r="477" ht="24.0" customHeight="1">
      <c r="B477" s="1"/>
    </row>
    <row r="478" ht="24.0" customHeight="1">
      <c r="B478" s="1"/>
    </row>
    <row r="479" ht="24.0" customHeight="1">
      <c r="B479" s="1"/>
    </row>
    <row r="480" ht="24.0" customHeight="1">
      <c r="B480" s="1"/>
    </row>
    <row r="481" ht="24.0" customHeight="1">
      <c r="B481" s="1"/>
    </row>
    <row r="482" ht="24.0" customHeight="1">
      <c r="B482" s="1"/>
    </row>
    <row r="483" ht="24.0" customHeight="1">
      <c r="B483" s="1"/>
    </row>
    <row r="484" ht="24.0" customHeight="1">
      <c r="B484" s="1"/>
    </row>
    <row r="485" ht="24.0" customHeight="1">
      <c r="B485" s="1"/>
    </row>
    <row r="486" ht="24.0" customHeight="1">
      <c r="B486" s="1"/>
    </row>
    <row r="487" ht="24.0" customHeight="1">
      <c r="B487" s="1"/>
    </row>
    <row r="488" ht="24.0" customHeight="1">
      <c r="B488" s="1"/>
    </row>
    <row r="489" ht="24.0" customHeight="1">
      <c r="B489" s="1"/>
    </row>
    <row r="490" ht="24.0" customHeight="1">
      <c r="B490" s="1"/>
    </row>
    <row r="491" ht="24.0" customHeight="1">
      <c r="B491" s="1"/>
    </row>
    <row r="492" ht="24.0" customHeight="1">
      <c r="B492" s="1"/>
    </row>
    <row r="493" ht="24.0" customHeight="1">
      <c r="B493" s="1"/>
    </row>
    <row r="494" ht="24.0" customHeight="1">
      <c r="B494" s="1"/>
    </row>
    <row r="495" ht="24.0" customHeight="1">
      <c r="B495" s="1"/>
    </row>
    <row r="496" ht="24.0" customHeight="1">
      <c r="B496" s="1"/>
    </row>
    <row r="497" ht="24.0" customHeight="1">
      <c r="B497" s="1"/>
    </row>
    <row r="498" ht="24.0" customHeight="1">
      <c r="B498" s="1"/>
    </row>
    <row r="499" ht="24.0" customHeight="1">
      <c r="B499" s="1"/>
    </row>
    <row r="500" ht="24.0" customHeight="1">
      <c r="B500" s="1"/>
    </row>
    <row r="501" ht="24.0" customHeight="1">
      <c r="B501" s="1"/>
    </row>
    <row r="502" ht="24.0" customHeight="1">
      <c r="B502" s="1"/>
    </row>
    <row r="503" ht="24.0" customHeight="1">
      <c r="B503" s="1"/>
    </row>
    <row r="504" ht="24.0" customHeight="1">
      <c r="B504" s="1"/>
    </row>
    <row r="505" ht="24.0" customHeight="1">
      <c r="B505" s="1"/>
    </row>
    <row r="506" ht="24.0" customHeight="1">
      <c r="B506" s="1"/>
    </row>
    <row r="507" ht="24.0" customHeight="1">
      <c r="B507" s="1"/>
    </row>
    <row r="508" ht="24.0" customHeight="1">
      <c r="B508" s="1"/>
    </row>
    <row r="509" ht="24.0" customHeight="1">
      <c r="B509" s="1"/>
    </row>
    <row r="510" ht="24.0" customHeight="1">
      <c r="B510" s="1"/>
    </row>
    <row r="511" ht="24.0" customHeight="1">
      <c r="B511" s="1"/>
    </row>
    <row r="512" ht="24.0" customHeight="1">
      <c r="B512" s="1"/>
    </row>
    <row r="513" ht="24.0" customHeight="1">
      <c r="B513" s="1"/>
    </row>
    <row r="514" ht="24.0" customHeight="1">
      <c r="B514" s="1"/>
    </row>
    <row r="515" ht="24.0" customHeight="1">
      <c r="B515" s="1"/>
    </row>
    <row r="516" ht="24.0" customHeight="1">
      <c r="B516" s="1"/>
    </row>
    <row r="517" ht="24.0" customHeight="1">
      <c r="B517" s="1"/>
    </row>
    <row r="518" ht="24.0" customHeight="1">
      <c r="B518" s="1"/>
    </row>
    <row r="519" ht="24.0" customHeight="1">
      <c r="B519" s="1"/>
    </row>
    <row r="520" ht="24.0" customHeight="1">
      <c r="B520" s="1"/>
    </row>
    <row r="521" ht="24.0" customHeight="1">
      <c r="B521" s="1"/>
    </row>
    <row r="522" ht="24.0" customHeight="1">
      <c r="B522" s="1"/>
    </row>
    <row r="523" ht="24.0" customHeight="1">
      <c r="B523" s="1"/>
    </row>
    <row r="524" ht="24.0" customHeight="1">
      <c r="B524" s="1"/>
    </row>
    <row r="525" ht="24.0" customHeight="1">
      <c r="B525" s="1"/>
    </row>
    <row r="526" ht="24.0" customHeight="1">
      <c r="B526" s="1"/>
    </row>
    <row r="527" ht="24.0" customHeight="1">
      <c r="B527" s="1"/>
    </row>
    <row r="528" ht="24.0" customHeight="1">
      <c r="B528" s="1"/>
    </row>
    <row r="529" ht="24.0" customHeight="1">
      <c r="B529" s="1"/>
    </row>
    <row r="530" ht="24.0" customHeight="1">
      <c r="B530" s="1"/>
    </row>
    <row r="531" ht="24.0" customHeight="1">
      <c r="B531" s="1"/>
    </row>
    <row r="532" ht="24.0" customHeight="1">
      <c r="B532" s="1"/>
    </row>
    <row r="533" ht="24.0" customHeight="1">
      <c r="B533" s="1"/>
    </row>
    <row r="534" ht="24.0" customHeight="1">
      <c r="B534" s="1"/>
    </row>
    <row r="535" ht="24.0" customHeight="1">
      <c r="B535" s="1"/>
    </row>
    <row r="536" ht="24.0" customHeight="1">
      <c r="B536" s="1"/>
    </row>
    <row r="537" ht="24.0" customHeight="1">
      <c r="B537" s="1"/>
    </row>
    <row r="538" ht="24.0" customHeight="1">
      <c r="B538" s="1"/>
    </row>
    <row r="539" ht="24.0" customHeight="1">
      <c r="B539" s="1"/>
    </row>
    <row r="540" ht="24.0" customHeight="1">
      <c r="B540" s="1"/>
    </row>
    <row r="541" ht="24.0" customHeight="1">
      <c r="B541" s="1"/>
    </row>
    <row r="542" ht="24.0" customHeight="1">
      <c r="B542" s="1"/>
    </row>
    <row r="543" ht="24.0" customHeight="1">
      <c r="B543" s="1"/>
    </row>
    <row r="544" ht="24.0" customHeight="1">
      <c r="B544" s="1"/>
    </row>
    <row r="545" ht="24.0" customHeight="1">
      <c r="B545" s="1"/>
    </row>
    <row r="546" ht="24.0" customHeight="1">
      <c r="B546" s="1"/>
    </row>
    <row r="547" ht="24.0" customHeight="1">
      <c r="B547" s="1"/>
    </row>
    <row r="548" ht="24.0" customHeight="1">
      <c r="B548" s="1"/>
    </row>
    <row r="549" ht="24.0" customHeight="1">
      <c r="B549" s="1"/>
    </row>
    <row r="550" ht="24.0" customHeight="1">
      <c r="B550" s="1"/>
    </row>
    <row r="551" ht="24.0" customHeight="1">
      <c r="B551" s="1"/>
    </row>
    <row r="552" ht="24.0" customHeight="1">
      <c r="B552" s="1"/>
    </row>
    <row r="553" ht="24.0" customHeight="1">
      <c r="B553" s="1"/>
    </row>
    <row r="554" ht="24.0" customHeight="1">
      <c r="B554" s="1"/>
    </row>
    <row r="555" ht="24.0" customHeight="1">
      <c r="B555" s="1"/>
    </row>
    <row r="556" ht="24.0" customHeight="1">
      <c r="B556" s="1"/>
    </row>
    <row r="557" ht="24.0" customHeight="1">
      <c r="B557" s="1"/>
    </row>
    <row r="558" ht="24.0" customHeight="1">
      <c r="B558" s="1"/>
    </row>
    <row r="559" ht="24.0" customHeight="1">
      <c r="B559" s="1"/>
    </row>
    <row r="560" ht="24.0" customHeight="1">
      <c r="B560" s="1"/>
    </row>
    <row r="561" ht="24.0" customHeight="1">
      <c r="B561" s="1"/>
    </row>
    <row r="562" ht="24.0" customHeight="1">
      <c r="B562" s="1"/>
    </row>
    <row r="563" ht="24.0" customHeight="1">
      <c r="B563" s="1"/>
    </row>
    <row r="564" ht="24.0" customHeight="1">
      <c r="B564" s="1"/>
    </row>
    <row r="565" ht="24.0" customHeight="1">
      <c r="B565" s="1"/>
    </row>
    <row r="566" ht="24.0" customHeight="1">
      <c r="B566" s="1"/>
    </row>
    <row r="567" ht="24.0" customHeight="1">
      <c r="B567" s="1"/>
    </row>
    <row r="568" ht="24.0" customHeight="1">
      <c r="B568" s="1"/>
    </row>
    <row r="569" ht="24.0" customHeight="1">
      <c r="B569" s="1"/>
    </row>
    <row r="570" ht="24.0" customHeight="1">
      <c r="B570" s="1"/>
    </row>
    <row r="571" ht="24.0" customHeight="1">
      <c r="B571" s="1"/>
    </row>
    <row r="572" ht="24.0" customHeight="1">
      <c r="B572" s="1"/>
    </row>
    <row r="573" ht="24.0" customHeight="1">
      <c r="B573" s="1"/>
    </row>
    <row r="574" ht="24.0" customHeight="1">
      <c r="B574" s="1"/>
    </row>
    <row r="575" ht="24.0" customHeight="1">
      <c r="B575" s="1"/>
    </row>
    <row r="576" ht="24.0" customHeight="1">
      <c r="B576" s="1"/>
    </row>
    <row r="577" ht="24.0" customHeight="1">
      <c r="B577" s="1"/>
    </row>
    <row r="578" ht="24.0" customHeight="1">
      <c r="B578" s="1"/>
    </row>
    <row r="579" ht="24.0" customHeight="1">
      <c r="B579" s="1"/>
    </row>
    <row r="580" ht="24.0" customHeight="1">
      <c r="B580" s="1"/>
    </row>
    <row r="581" ht="24.0" customHeight="1">
      <c r="B581" s="1"/>
    </row>
    <row r="582" ht="24.0" customHeight="1">
      <c r="B582" s="1"/>
    </row>
    <row r="583" ht="24.0" customHeight="1">
      <c r="B583" s="1"/>
    </row>
    <row r="584" ht="24.0" customHeight="1">
      <c r="B584" s="1"/>
    </row>
    <row r="585" ht="24.0" customHeight="1">
      <c r="B585" s="1"/>
    </row>
    <row r="586" ht="24.0" customHeight="1">
      <c r="B586" s="1"/>
    </row>
    <row r="587" ht="24.0" customHeight="1">
      <c r="B587" s="1"/>
    </row>
    <row r="588" ht="24.0" customHeight="1">
      <c r="B588" s="1"/>
    </row>
    <row r="589" ht="24.0" customHeight="1">
      <c r="B589" s="1"/>
    </row>
    <row r="590" ht="24.0" customHeight="1">
      <c r="B590" s="1"/>
    </row>
    <row r="591" ht="24.0" customHeight="1">
      <c r="B591" s="1"/>
    </row>
    <row r="592" ht="24.0" customHeight="1">
      <c r="B592" s="1"/>
    </row>
    <row r="593" ht="24.0" customHeight="1">
      <c r="B593" s="1"/>
    </row>
    <row r="594" ht="24.0" customHeight="1">
      <c r="B594" s="1"/>
    </row>
    <row r="595" ht="24.0" customHeight="1">
      <c r="B595" s="1"/>
    </row>
    <row r="596" ht="24.0" customHeight="1">
      <c r="B596" s="1"/>
    </row>
    <row r="597" ht="24.0" customHeight="1">
      <c r="B597" s="1"/>
    </row>
    <row r="598" ht="24.0" customHeight="1">
      <c r="B598" s="1"/>
    </row>
    <row r="599" ht="24.0" customHeight="1">
      <c r="B599" s="1"/>
    </row>
    <row r="600" ht="24.0" customHeight="1">
      <c r="B600" s="1"/>
    </row>
    <row r="601" ht="24.0" customHeight="1">
      <c r="B601" s="1"/>
    </row>
    <row r="602" ht="24.0" customHeight="1">
      <c r="B602" s="1"/>
    </row>
    <row r="603" ht="24.0" customHeight="1">
      <c r="B603" s="1"/>
    </row>
    <row r="604" ht="24.0" customHeight="1">
      <c r="B604" s="1"/>
    </row>
    <row r="605" ht="24.0" customHeight="1">
      <c r="B605" s="1"/>
    </row>
    <row r="606" ht="24.0" customHeight="1">
      <c r="B606" s="1"/>
    </row>
    <row r="607" ht="24.0" customHeight="1">
      <c r="B607" s="1"/>
    </row>
    <row r="608" ht="24.0" customHeight="1">
      <c r="B608" s="1"/>
    </row>
    <row r="609" ht="24.0" customHeight="1">
      <c r="B609" s="1"/>
    </row>
    <row r="610" ht="24.0" customHeight="1">
      <c r="B610" s="1"/>
    </row>
    <row r="611" ht="24.0" customHeight="1">
      <c r="B611" s="1"/>
    </row>
    <row r="612" ht="24.0" customHeight="1">
      <c r="B612" s="1"/>
    </row>
    <row r="613" ht="24.0" customHeight="1">
      <c r="B613" s="1"/>
    </row>
    <row r="614" ht="24.0" customHeight="1">
      <c r="B614" s="1"/>
    </row>
    <row r="615" ht="24.0" customHeight="1">
      <c r="B615" s="1"/>
    </row>
    <row r="616" ht="24.0" customHeight="1">
      <c r="B616" s="1"/>
    </row>
    <row r="617" ht="24.0" customHeight="1">
      <c r="B617" s="1"/>
    </row>
    <row r="618" ht="24.0" customHeight="1">
      <c r="B618" s="1"/>
    </row>
    <row r="619" ht="24.0" customHeight="1">
      <c r="B619" s="1"/>
    </row>
    <row r="620" ht="24.0" customHeight="1">
      <c r="B620" s="1"/>
    </row>
    <row r="621" ht="24.0" customHeight="1">
      <c r="B621" s="1"/>
    </row>
    <row r="622" ht="24.0" customHeight="1">
      <c r="B622" s="1"/>
    </row>
    <row r="623" ht="24.0" customHeight="1">
      <c r="B623" s="1"/>
    </row>
    <row r="624" ht="24.0" customHeight="1">
      <c r="B624" s="1"/>
    </row>
    <row r="625" ht="24.0" customHeight="1">
      <c r="B625" s="1"/>
    </row>
    <row r="626" ht="24.0" customHeight="1">
      <c r="B626" s="1"/>
    </row>
    <row r="627" ht="24.0" customHeight="1">
      <c r="B627" s="1"/>
    </row>
    <row r="628" ht="24.0" customHeight="1">
      <c r="B628" s="1"/>
    </row>
    <row r="629" ht="24.0" customHeight="1">
      <c r="B629" s="1"/>
    </row>
    <row r="630" ht="24.0" customHeight="1">
      <c r="B630" s="1"/>
    </row>
    <row r="631" ht="24.0" customHeight="1">
      <c r="B631" s="1"/>
    </row>
    <row r="632" ht="24.0" customHeight="1">
      <c r="B632" s="1"/>
    </row>
    <row r="633" ht="24.0" customHeight="1">
      <c r="B633" s="1"/>
    </row>
    <row r="634" ht="24.0" customHeight="1">
      <c r="B634" s="1"/>
    </row>
    <row r="635" ht="24.0" customHeight="1">
      <c r="B635" s="1"/>
    </row>
    <row r="636" ht="24.0" customHeight="1">
      <c r="B636" s="1"/>
    </row>
    <row r="637" ht="24.0" customHeight="1">
      <c r="B637" s="1"/>
    </row>
    <row r="638" ht="24.0" customHeight="1">
      <c r="B638" s="1"/>
    </row>
    <row r="639" ht="24.0" customHeight="1">
      <c r="B639" s="1"/>
    </row>
    <row r="640" ht="24.0" customHeight="1">
      <c r="B640" s="1"/>
    </row>
    <row r="641" ht="24.0" customHeight="1">
      <c r="B641" s="1"/>
    </row>
    <row r="642" ht="24.0" customHeight="1">
      <c r="B642" s="1"/>
    </row>
    <row r="643" ht="24.0" customHeight="1">
      <c r="B643" s="1"/>
    </row>
    <row r="644" ht="24.0" customHeight="1">
      <c r="B644" s="1"/>
    </row>
    <row r="645" ht="24.0" customHeight="1">
      <c r="B645" s="1"/>
    </row>
    <row r="646" ht="24.0" customHeight="1">
      <c r="B646" s="1"/>
    </row>
    <row r="647" ht="24.0" customHeight="1">
      <c r="B647" s="1"/>
    </row>
    <row r="648" ht="24.0" customHeight="1">
      <c r="B648" s="1"/>
    </row>
    <row r="649" ht="24.0" customHeight="1">
      <c r="B649" s="1"/>
    </row>
    <row r="650" ht="24.0" customHeight="1">
      <c r="B650" s="1"/>
    </row>
    <row r="651" ht="24.0" customHeight="1">
      <c r="B651" s="1"/>
    </row>
    <row r="652" ht="24.0" customHeight="1">
      <c r="B652" s="1"/>
    </row>
    <row r="653" ht="24.0" customHeight="1">
      <c r="B653" s="1"/>
    </row>
    <row r="654" ht="24.0" customHeight="1">
      <c r="B654" s="1"/>
    </row>
    <row r="655" ht="24.0" customHeight="1">
      <c r="B655" s="1"/>
    </row>
    <row r="656" ht="24.0" customHeight="1">
      <c r="B656" s="1"/>
    </row>
    <row r="657" ht="24.0" customHeight="1">
      <c r="B657" s="1"/>
    </row>
    <row r="658" ht="24.0" customHeight="1">
      <c r="B658" s="1"/>
    </row>
    <row r="659" ht="24.0" customHeight="1">
      <c r="B659" s="1"/>
    </row>
    <row r="660" ht="24.0" customHeight="1">
      <c r="B660" s="1"/>
    </row>
    <row r="661" ht="24.0" customHeight="1">
      <c r="B661" s="1"/>
    </row>
    <row r="662" ht="24.0" customHeight="1">
      <c r="B662" s="1"/>
    </row>
    <row r="663" ht="24.0" customHeight="1">
      <c r="B663" s="1"/>
    </row>
    <row r="664" ht="24.0" customHeight="1">
      <c r="B664" s="1"/>
    </row>
    <row r="665" ht="24.0" customHeight="1">
      <c r="B665" s="1"/>
    </row>
    <row r="666" ht="24.0" customHeight="1">
      <c r="B666" s="1"/>
    </row>
    <row r="667" ht="24.0" customHeight="1">
      <c r="B667" s="1"/>
    </row>
    <row r="668" ht="24.0" customHeight="1">
      <c r="B668" s="1"/>
    </row>
    <row r="669" ht="24.0" customHeight="1">
      <c r="B669" s="1"/>
    </row>
    <row r="670" ht="24.0" customHeight="1">
      <c r="B670" s="1"/>
    </row>
    <row r="671" ht="24.0" customHeight="1">
      <c r="B671" s="1"/>
    </row>
    <row r="672" ht="24.0" customHeight="1">
      <c r="B672" s="1"/>
    </row>
    <row r="673" ht="24.0" customHeight="1">
      <c r="B673" s="1"/>
    </row>
    <row r="674" ht="24.0" customHeight="1">
      <c r="B674" s="1"/>
    </row>
    <row r="675" ht="24.0" customHeight="1">
      <c r="B675" s="1"/>
    </row>
    <row r="676" ht="24.0" customHeight="1">
      <c r="B676" s="1"/>
    </row>
    <row r="677" ht="24.0" customHeight="1">
      <c r="B677" s="1"/>
    </row>
    <row r="678" ht="24.0" customHeight="1">
      <c r="B678" s="1"/>
    </row>
    <row r="679" ht="24.0" customHeight="1">
      <c r="B679" s="1"/>
    </row>
    <row r="680" ht="24.0" customHeight="1">
      <c r="B680" s="1"/>
    </row>
    <row r="681" ht="24.0" customHeight="1">
      <c r="B681" s="1"/>
    </row>
    <row r="682" ht="24.0" customHeight="1">
      <c r="B682" s="1"/>
    </row>
    <row r="683" ht="24.0" customHeight="1">
      <c r="B683" s="1"/>
    </row>
    <row r="684" ht="24.0" customHeight="1">
      <c r="B684" s="1"/>
    </row>
    <row r="685" ht="24.0" customHeight="1">
      <c r="B685" s="1"/>
    </row>
    <row r="686" ht="24.0" customHeight="1">
      <c r="B686" s="1"/>
    </row>
    <row r="687" ht="24.0" customHeight="1">
      <c r="B687" s="1"/>
    </row>
    <row r="688" ht="24.0" customHeight="1">
      <c r="B688" s="1"/>
    </row>
    <row r="689" ht="24.0" customHeight="1">
      <c r="B689" s="1"/>
    </row>
    <row r="690" ht="24.0" customHeight="1">
      <c r="B690" s="1"/>
    </row>
    <row r="691" ht="24.0" customHeight="1">
      <c r="B691" s="1"/>
    </row>
    <row r="692" ht="24.0" customHeight="1">
      <c r="B692" s="1"/>
    </row>
    <row r="693" ht="24.0" customHeight="1">
      <c r="B693" s="1"/>
    </row>
    <row r="694" ht="24.0" customHeight="1">
      <c r="B694" s="1"/>
    </row>
    <row r="695" ht="24.0" customHeight="1">
      <c r="B695" s="1"/>
    </row>
    <row r="696" ht="24.0" customHeight="1">
      <c r="B696" s="1"/>
    </row>
    <row r="697" ht="24.0" customHeight="1">
      <c r="B697" s="1"/>
    </row>
    <row r="698" ht="24.0" customHeight="1">
      <c r="B698" s="1"/>
    </row>
    <row r="699" ht="24.0" customHeight="1">
      <c r="B699" s="1"/>
    </row>
    <row r="700" ht="24.0" customHeight="1">
      <c r="B700" s="1"/>
    </row>
    <row r="701" ht="24.0" customHeight="1">
      <c r="B701" s="1"/>
    </row>
    <row r="702" ht="24.0" customHeight="1">
      <c r="B702" s="1"/>
    </row>
    <row r="703" ht="24.0" customHeight="1">
      <c r="B703" s="1"/>
    </row>
    <row r="704" ht="24.0" customHeight="1">
      <c r="B704" s="1"/>
    </row>
    <row r="705" ht="24.0" customHeight="1">
      <c r="B705" s="1"/>
    </row>
    <row r="706" ht="24.0" customHeight="1">
      <c r="B706" s="1"/>
    </row>
    <row r="707" ht="24.0" customHeight="1">
      <c r="B707" s="1"/>
    </row>
    <row r="708" ht="24.0" customHeight="1">
      <c r="B708" s="1"/>
    </row>
    <row r="709" ht="24.0" customHeight="1">
      <c r="B709" s="1"/>
    </row>
    <row r="710" ht="24.0" customHeight="1">
      <c r="B710" s="1"/>
    </row>
    <row r="711" ht="24.0" customHeight="1">
      <c r="B711" s="1"/>
    </row>
    <row r="712" ht="24.0" customHeight="1">
      <c r="B712" s="1"/>
    </row>
    <row r="713" ht="24.0" customHeight="1">
      <c r="B713" s="1"/>
    </row>
    <row r="714" ht="24.0" customHeight="1">
      <c r="B714" s="1"/>
    </row>
    <row r="715" ht="24.0" customHeight="1">
      <c r="B715" s="1"/>
    </row>
    <row r="716" ht="24.0" customHeight="1">
      <c r="B716" s="1"/>
    </row>
    <row r="717" ht="24.0" customHeight="1">
      <c r="B717" s="1"/>
    </row>
    <row r="718" ht="24.0" customHeight="1">
      <c r="B718" s="1"/>
    </row>
    <row r="719" ht="24.0" customHeight="1">
      <c r="B719" s="1"/>
    </row>
    <row r="720" ht="24.0" customHeight="1">
      <c r="B720" s="1"/>
    </row>
    <row r="721" ht="24.0" customHeight="1">
      <c r="B721" s="1"/>
    </row>
    <row r="722" ht="24.0" customHeight="1">
      <c r="B722" s="1"/>
    </row>
    <row r="723" ht="24.0" customHeight="1">
      <c r="B723" s="1"/>
    </row>
    <row r="724" ht="24.0" customHeight="1">
      <c r="B724" s="1"/>
    </row>
    <row r="725" ht="24.0" customHeight="1">
      <c r="B725" s="1"/>
    </row>
    <row r="726" ht="24.0" customHeight="1">
      <c r="B726" s="1"/>
    </row>
    <row r="727" ht="24.0" customHeight="1">
      <c r="B727" s="1"/>
    </row>
    <row r="728" ht="24.0" customHeight="1">
      <c r="B728" s="1"/>
    </row>
    <row r="729" ht="24.0" customHeight="1">
      <c r="B729" s="1"/>
    </row>
    <row r="730" ht="24.0" customHeight="1">
      <c r="B730" s="1"/>
    </row>
    <row r="731" ht="24.0" customHeight="1">
      <c r="B731" s="1"/>
    </row>
    <row r="732" ht="24.0" customHeight="1">
      <c r="B732" s="1"/>
    </row>
    <row r="733" ht="24.0" customHeight="1">
      <c r="B733" s="1"/>
    </row>
    <row r="734" ht="24.0" customHeight="1">
      <c r="B734" s="1"/>
    </row>
    <row r="735" ht="24.0" customHeight="1">
      <c r="B735" s="1"/>
    </row>
    <row r="736" ht="24.0" customHeight="1">
      <c r="B736" s="1"/>
    </row>
    <row r="737" ht="24.0" customHeight="1">
      <c r="B737" s="1"/>
    </row>
    <row r="738" ht="24.0" customHeight="1">
      <c r="B738" s="1"/>
    </row>
    <row r="739" ht="24.0" customHeight="1">
      <c r="B739" s="1"/>
    </row>
    <row r="740" ht="24.0" customHeight="1">
      <c r="B740" s="1"/>
    </row>
    <row r="741" ht="24.0" customHeight="1">
      <c r="B741" s="1"/>
    </row>
    <row r="742" ht="24.0" customHeight="1">
      <c r="B742" s="1"/>
    </row>
    <row r="743" ht="24.0" customHeight="1">
      <c r="B743" s="1"/>
    </row>
    <row r="744" ht="24.0" customHeight="1">
      <c r="B744" s="1"/>
    </row>
    <row r="745" ht="24.0" customHeight="1">
      <c r="B745" s="1"/>
    </row>
    <row r="746" ht="24.0" customHeight="1">
      <c r="B746" s="1"/>
    </row>
    <row r="747" ht="24.0" customHeight="1">
      <c r="B747" s="1"/>
    </row>
    <row r="748" ht="24.0" customHeight="1">
      <c r="B748" s="1"/>
    </row>
    <row r="749" ht="24.0" customHeight="1">
      <c r="B749" s="1"/>
    </row>
    <row r="750" ht="24.0" customHeight="1">
      <c r="B750" s="1"/>
    </row>
    <row r="751" ht="24.0" customHeight="1">
      <c r="B751" s="1"/>
    </row>
    <row r="752" ht="24.0" customHeight="1">
      <c r="B752" s="1"/>
    </row>
    <row r="753" ht="24.0" customHeight="1">
      <c r="B753" s="1"/>
    </row>
    <row r="754" ht="24.0" customHeight="1">
      <c r="B754" s="1"/>
    </row>
    <row r="755" ht="24.0" customHeight="1">
      <c r="B755" s="1"/>
    </row>
    <row r="756" ht="24.0" customHeight="1">
      <c r="B756" s="1"/>
    </row>
    <row r="757" ht="24.0" customHeight="1">
      <c r="B757" s="1"/>
    </row>
    <row r="758" ht="24.0" customHeight="1">
      <c r="B758" s="1"/>
    </row>
    <row r="759" ht="24.0" customHeight="1">
      <c r="B759" s="1"/>
    </row>
    <row r="760" ht="24.0" customHeight="1">
      <c r="B760" s="1"/>
    </row>
    <row r="761" ht="24.0" customHeight="1">
      <c r="B761" s="1"/>
    </row>
    <row r="762" ht="24.0" customHeight="1">
      <c r="B762" s="1"/>
    </row>
    <row r="763" ht="24.0" customHeight="1">
      <c r="B763" s="1"/>
    </row>
    <row r="764" ht="24.0" customHeight="1">
      <c r="B764" s="1"/>
    </row>
    <row r="765" ht="24.0" customHeight="1">
      <c r="B765" s="1"/>
    </row>
    <row r="766" ht="24.0" customHeight="1">
      <c r="B766" s="1"/>
    </row>
    <row r="767" ht="24.0" customHeight="1">
      <c r="B767" s="1"/>
    </row>
    <row r="768" ht="24.0" customHeight="1">
      <c r="B768" s="1"/>
    </row>
    <row r="769" ht="24.0" customHeight="1">
      <c r="B769" s="1"/>
    </row>
    <row r="770" ht="24.0" customHeight="1">
      <c r="B770" s="1"/>
    </row>
    <row r="771" ht="24.0" customHeight="1">
      <c r="B771" s="1"/>
    </row>
    <row r="772" ht="24.0" customHeight="1">
      <c r="B772" s="1"/>
    </row>
    <row r="773" ht="24.0" customHeight="1">
      <c r="B773" s="1"/>
    </row>
    <row r="774" ht="24.0" customHeight="1">
      <c r="B774" s="1"/>
    </row>
    <row r="775" ht="24.0" customHeight="1">
      <c r="B775" s="1"/>
    </row>
    <row r="776" ht="24.0" customHeight="1">
      <c r="B776" s="1"/>
    </row>
    <row r="777" ht="24.0" customHeight="1">
      <c r="B777" s="1"/>
    </row>
    <row r="778" ht="24.0" customHeight="1">
      <c r="B778" s="1"/>
    </row>
    <row r="779" ht="24.0" customHeight="1">
      <c r="B779" s="1"/>
    </row>
    <row r="780" ht="24.0" customHeight="1">
      <c r="B780" s="1"/>
    </row>
    <row r="781" ht="24.0" customHeight="1">
      <c r="B781" s="1"/>
    </row>
    <row r="782" ht="24.0" customHeight="1">
      <c r="B782" s="1"/>
    </row>
    <row r="783" ht="24.0" customHeight="1">
      <c r="B783" s="1"/>
    </row>
    <row r="784" ht="24.0" customHeight="1">
      <c r="B784" s="1"/>
    </row>
    <row r="785" ht="24.0" customHeight="1">
      <c r="B785" s="1"/>
    </row>
    <row r="786" ht="24.0" customHeight="1">
      <c r="B786" s="1"/>
    </row>
    <row r="787" ht="24.0" customHeight="1">
      <c r="B787" s="1"/>
    </row>
    <row r="788" ht="24.0" customHeight="1">
      <c r="B788" s="1"/>
    </row>
    <row r="789" ht="24.0" customHeight="1">
      <c r="B789" s="1"/>
    </row>
    <row r="790" ht="24.0" customHeight="1">
      <c r="B790" s="1"/>
    </row>
    <row r="791" ht="24.0" customHeight="1">
      <c r="B791" s="1"/>
    </row>
    <row r="792" ht="24.0" customHeight="1">
      <c r="B792" s="1"/>
    </row>
    <row r="793" ht="24.0" customHeight="1">
      <c r="B793" s="1"/>
    </row>
    <row r="794" ht="24.0" customHeight="1">
      <c r="B794" s="1"/>
    </row>
    <row r="795" ht="24.0" customHeight="1">
      <c r="B795" s="1"/>
    </row>
    <row r="796" ht="24.0" customHeight="1">
      <c r="B796" s="1"/>
    </row>
    <row r="797" ht="24.0" customHeight="1">
      <c r="B797" s="1"/>
    </row>
    <row r="798" ht="24.0" customHeight="1">
      <c r="B798" s="1"/>
    </row>
    <row r="799" ht="24.0" customHeight="1">
      <c r="B799" s="1"/>
    </row>
    <row r="800" ht="24.0" customHeight="1">
      <c r="B800" s="1"/>
    </row>
    <row r="801" ht="24.0" customHeight="1">
      <c r="B801" s="1"/>
    </row>
    <row r="802" ht="24.0" customHeight="1">
      <c r="B802" s="1"/>
    </row>
    <row r="803" ht="24.0" customHeight="1">
      <c r="B803" s="1"/>
    </row>
    <row r="804" ht="24.0" customHeight="1">
      <c r="B804" s="1"/>
    </row>
    <row r="805" ht="24.0" customHeight="1">
      <c r="B805" s="1"/>
    </row>
    <row r="806" ht="24.0" customHeight="1">
      <c r="B806" s="1"/>
    </row>
    <row r="807" ht="24.0" customHeight="1">
      <c r="B807" s="1"/>
    </row>
    <row r="808" ht="24.0" customHeight="1">
      <c r="B808" s="1"/>
    </row>
    <row r="809" ht="24.0" customHeight="1">
      <c r="B809" s="1"/>
    </row>
    <row r="810" ht="24.0" customHeight="1">
      <c r="B810" s="1"/>
    </row>
    <row r="811" ht="24.0" customHeight="1">
      <c r="B811" s="1"/>
    </row>
    <row r="812" ht="24.0" customHeight="1">
      <c r="B812" s="1"/>
    </row>
    <row r="813" ht="24.0" customHeight="1">
      <c r="B813" s="1"/>
    </row>
    <row r="814" ht="24.0" customHeight="1">
      <c r="B814" s="1"/>
    </row>
    <row r="815" ht="24.0" customHeight="1">
      <c r="B815" s="1"/>
    </row>
    <row r="816" ht="24.0" customHeight="1">
      <c r="B816" s="1"/>
    </row>
    <row r="817" ht="24.0" customHeight="1">
      <c r="B817" s="1"/>
    </row>
    <row r="818" ht="24.0" customHeight="1">
      <c r="B818" s="1"/>
    </row>
    <row r="819" ht="24.0" customHeight="1">
      <c r="B819" s="1"/>
    </row>
    <row r="820" ht="24.0" customHeight="1">
      <c r="B820" s="1"/>
    </row>
    <row r="821" ht="24.0" customHeight="1">
      <c r="B821" s="1"/>
    </row>
    <row r="822" ht="24.0" customHeight="1">
      <c r="B822" s="1"/>
    </row>
    <row r="823" ht="24.0" customHeight="1">
      <c r="B823" s="1"/>
    </row>
    <row r="824" ht="24.0" customHeight="1">
      <c r="B824" s="1"/>
    </row>
    <row r="825" ht="24.0" customHeight="1">
      <c r="B825" s="1"/>
    </row>
    <row r="826" ht="24.0" customHeight="1">
      <c r="B826" s="1"/>
    </row>
    <row r="827" ht="24.0" customHeight="1">
      <c r="B827" s="1"/>
    </row>
    <row r="828" ht="24.0" customHeight="1">
      <c r="B828" s="1"/>
    </row>
    <row r="829" ht="24.0" customHeight="1">
      <c r="B829" s="1"/>
    </row>
    <row r="830" ht="24.0" customHeight="1">
      <c r="B830" s="1"/>
    </row>
    <row r="831" ht="24.0" customHeight="1">
      <c r="B831" s="1"/>
    </row>
    <row r="832" ht="24.0" customHeight="1">
      <c r="B832" s="1"/>
    </row>
    <row r="833" ht="24.0" customHeight="1">
      <c r="B833" s="1"/>
    </row>
    <row r="834" ht="24.0" customHeight="1">
      <c r="B834" s="1"/>
    </row>
    <row r="835" ht="24.0" customHeight="1">
      <c r="B835" s="1"/>
    </row>
    <row r="836" ht="24.0" customHeight="1">
      <c r="B836" s="1"/>
    </row>
    <row r="837" ht="24.0" customHeight="1">
      <c r="B837" s="1"/>
    </row>
    <row r="838" ht="24.0" customHeight="1">
      <c r="B838" s="1"/>
    </row>
    <row r="839" ht="24.0" customHeight="1">
      <c r="B839" s="1"/>
    </row>
    <row r="840" ht="24.0" customHeight="1">
      <c r="B840" s="1"/>
    </row>
    <row r="841" ht="24.0" customHeight="1">
      <c r="B841" s="1"/>
    </row>
    <row r="842" ht="24.0" customHeight="1">
      <c r="B842" s="1"/>
    </row>
    <row r="843" ht="24.0" customHeight="1">
      <c r="B843" s="1"/>
    </row>
    <row r="844" ht="24.0" customHeight="1">
      <c r="B844" s="1"/>
    </row>
    <row r="845" ht="24.0" customHeight="1">
      <c r="B845" s="1"/>
    </row>
    <row r="846" ht="24.0" customHeight="1">
      <c r="B846" s="1"/>
    </row>
    <row r="847" ht="24.0" customHeight="1">
      <c r="B847" s="1"/>
    </row>
    <row r="848" ht="24.0" customHeight="1">
      <c r="B848" s="1"/>
    </row>
    <row r="849" ht="24.0" customHeight="1">
      <c r="B849" s="1"/>
    </row>
    <row r="850" ht="24.0" customHeight="1">
      <c r="B850" s="1"/>
    </row>
    <row r="851" ht="24.0" customHeight="1">
      <c r="B851" s="1"/>
    </row>
    <row r="852" ht="24.0" customHeight="1">
      <c r="B852" s="1"/>
    </row>
    <row r="853" ht="24.0" customHeight="1">
      <c r="B853" s="1"/>
    </row>
    <row r="854" ht="24.0" customHeight="1">
      <c r="B854" s="1"/>
    </row>
    <row r="855" ht="24.0" customHeight="1">
      <c r="B855" s="1"/>
    </row>
    <row r="856" ht="24.0" customHeight="1">
      <c r="B856" s="1"/>
    </row>
    <row r="857" ht="24.0" customHeight="1">
      <c r="B857" s="1"/>
    </row>
    <row r="858" ht="24.0" customHeight="1">
      <c r="B858" s="1"/>
    </row>
    <row r="859" ht="24.0" customHeight="1">
      <c r="B859" s="1"/>
    </row>
    <row r="860" ht="24.0" customHeight="1">
      <c r="B860" s="1"/>
    </row>
    <row r="861" ht="24.0" customHeight="1">
      <c r="B861" s="1"/>
    </row>
    <row r="862" ht="24.0" customHeight="1">
      <c r="B862" s="1"/>
    </row>
    <row r="863" ht="24.0" customHeight="1">
      <c r="B863" s="1"/>
    </row>
    <row r="864" ht="24.0" customHeight="1">
      <c r="B864" s="1"/>
    </row>
    <row r="865" ht="24.0" customHeight="1">
      <c r="B865" s="1"/>
    </row>
    <row r="866" ht="24.0" customHeight="1">
      <c r="B866" s="1"/>
    </row>
    <row r="867" ht="24.0" customHeight="1">
      <c r="B867" s="1"/>
    </row>
    <row r="868" ht="24.0" customHeight="1">
      <c r="B868" s="1"/>
    </row>
    <row r="869" ht="24.0" customHeight="1">
      <c r="B869" s="1"/>
    </row>
    <row r="870" ht="24.0" customHeight="1">
      <c r="B870" s="1"/>
    </row>
    <row r="871" ht="24.0" customHeight="1">
      <c r="B871" s="1"/>
    </row>
    <row r="872" ht="24.0" customHeight="1">
      <c r="B872" s="1"/>
    </row>
    <row r="873" ht="24.0" customHeight="1">
      <c r="B873" s="1"/>
    </row>
    <row r="874" ht="24.0" customHeight="1">
      <c r="B874" s="1"/>
    </row>
    <row r="875" ht="24.0" customHeight="1">
      <c r="B875" s="1"/>
    </row>
    <row r="876" ht="24.0" customHeight="1">
      <c r="B876" s="1"/>
    </row>
    <row r="877" ht="24.0" customHeight="1">
      <c r="B877" s="1"/>
    </row>
    <row r="878" ht="24.0" customHeight="1">
      <c r="B878" s="1"/>
    </row>
    <row r="879" ht="24.0" customHeight="1">
      <c r="B879" s="1"/>
    </row>
    <row r="880" ht="24.0" customHeight="1">
      <c r="B880" s="1"/>
    </row>
    <row r="881" ht="24.0" customHeight="1">
      <c r="B881" s="1"/>
    </row>
    <row r="882" ht="24.0" customHeight="1">
      <c r="B882" s="1"/>
    </row>
    <row r="883" ht="24.0" customHeight="1">
      <c r="B883" s="1"/>
    </row>
    <row r="884" ht="24.0" customHeight="1">
      <c r="B884" s="1"/>
    </row>
    <row r="885" ht="24.0" customHeight="1">
      <c r="B885" s="1"/>
    </row>
    <row r="886" ht="24.0" customHeight="1">
      <c r="B886" s="1"/>
    </row>
    <row r="887" ht="24.0" customHeight="1">
      <c r="B887" s="1"/>
    </row>
    <row r="888" ht="24.0" customHeight="1">
      <c r="B888" s="1"/>
    </row>
    <row r="889" ht="24.0" customHeight="1">
      <c r="B889" s="1"/>
    </row>
    <row r="890" ht="24.0" customHeight="1">
      <c r="B890" s="1"/>
    </row>
    <row r="891" ht="24.0" customHeight="1">
      <c r="B891" s="1"/>
    </row>
    <row r="892" ht="24.0" customHeight="1">
      <c r="B892" s="1"/>
    </row>
    <row r="893" ht="24.0" customHeight="1">
      <c r="B893" s="1"/>
    </row>
    <row r="894" ht="24.0" customHeight="1">
      <c r="B894" s="1"/>
    </row>
    <row r="895" ht="24.0" customHeight="1">
      <c r="B895" s="1"/>
    </row>
    <row r="896" ht="24.0" customHeight="1">
      <c r="B896" s="1"/>
    </row>
    <row r="897" ht="24.0" customHeight="1">
      <c r="B897" s="1"/>
    </row>
    <row r="898" ht="24.0" customHeight="1">
      <c r="B898" s="1"/>
    </row>
    <row r="899" ht="24.0" customHeight="1">
      <c r="B899" s="1"/>
    </row>
    <row r="900" ht="24.0" customHeight="1">
      <c r="B900" s="1"/>
    </row>
    <row r="901" ht="24.0" customHeight="1">
      <c r="B901" s="1"/>
    </row>
    <row r="902" ht="24.0" customHeight="1">
      <c r="B902" s="1"/>
    </row>
    <row r="903" ht="24.0" customHeight="1">
      <c r="B903" s="1"/>
    </row>
    <row r="904" ht="24.0" customHeight="1">
      <c r="B904" s="1"/>
    </row>
    <row r="905" ht="24.0" customHeight="1">
      <c r="B905" s="1"/>
    </row>
    <row r="906" ht="24.0" customHeight="1">
      <c r="B906" s="1"/>
    </row>
    <row r="907" ht="24.0" customHeight="1">
      <c r="B907" s="1"/>
    </row>
    <row r="908" ht="24.0" customHeight="1">
      <c r="B908" s="1"/>
    </row>
    <row r="909" ht="24.0" customHeight="1">
      <c r="B909" s="1"/>
    </row>
    <row r="910" ht="24.0" customHeight="1">
      <c r="B910" s="1"/>
    </row>
    <row r="911" ht="24.0" customHeight="1">
      <c r="B911" s="1"/>
    </row>
    <row r="912" ht="24.0" customHeight="1">
      <c r="B912" s="1"/>
    </row>
    <row r="913" ht="24.0" customHeight="1">
      <c r="B913" s="1"/>
    </row>
    <row r="914" ht="24.0" customHeight="1">
      <c r="B914" s="1"/>
    </row>
    <row r="915" ht="24.0" customHeight="1">
      <c r="B915" s="1"/>
    </row>
    <row r="916" ht="24.0" customHeight="1">
      <c r="B916" s="1"/>
    </row>
    <row r="917" ht="24.0" customHeight="1">
      <c r="B917" s="1"/>
    </row>
    <row r="918" ht="24.0" customHeight="1">
      <c r="B918" s="1"/>
    </row>
    <row r="919" ht="24.0" customHeight="1">
      <c r="B919" s="1"/>
    </row>
    <row r="920" ht="24.0" customHeight="1">
      <c r="B920" s="1"/>
    </row>
    <row r="921" ht="24.0" customHeight="1">
      <c r="B921" s="1"/>
    </row>
    <row r="922" ht="24.0" customHeight="1">
      <c r="B922" s="1"/>
    </row>
    <row r="923" ht="24.0" customHeight="1">
      <c r="B923" s="1"/>
    </row>
    <row r="924" ht="24.0" customHeight="1">
      <c r="B924" s="1"/>
    </row>
    <row r="925" ht="24.0" customHeight="1">
      <c r="B925" s="1"/>
    </row>
    <row r="926" ht="24.0" customHeight="1">
      <c r="B926" s="1"/>
    </row>
    <row r="927" ht="24.0" customHeight="1">
      <c r="B927" s="1"/>
    </row>
    <row r="928" ht="24.0" customHeight="1">
      <c r="B928" s="1"/>
    </row>
    <row r="929" ht="24.0" customHeight="1">
      <c r="B929" s="1"/>
    </row>
    <row r="930" ht="24.0" customHeight="1">
      <c r="B930" s="1"/>
    </row>
    <row r="931" ht="24.0" customHeight="1">
      <c r="B931" s="1"/>
    </row>
    <row r="932" ht="24.0" customHeight="1">
      <c r="B932" s="1"/>
    </row>
    <row r="933" ht="24.0" customHeight="1">
      <c r="B933" s="1"/>
    </row>
    <row r="934" ht="24.0" customHeight="1">
      <c r="B934" s="1"/>
    </row>
    <row r="935" ht="24.0" customHeight="1">
      <c r="B935" s="1"/>
    </row>
    <row r="936" ht="24.0" customHeight="1">
      <c r="B936" s="1"/>
    </row>
    <row r="937" ht="24.0" customHeight="1">
      <c r="B937" s="1"/>
    </row>
    <row r="938" ht="24.0" customHeight="1">
      <c r="B938" s="1"/>
    </row>
    <row r="939" ht="24.0" customHeight="1">
      <c r="B939" s="1"/>
    </row>
    <row r="940" ht="24.0" customHeight="1">
      <c r="B940" s="1"/>
    </row>
    <row r="941" ht="24.0" customHeight="1">
      <c r="B941" s="1"/>
    </row>
    <row r="942" ht="24.0" customHeight="1">
      <c r="B942" s="1"/>
    </row>
    <row r="943" ht="24.0" customHeight="1">
      <c r="B943" s="1"/>
    </row>
    <row r="944" ht="24.0" customHeight="1">
      <c r="B944" s="1"/>
    </row>
    <row r="945" ht="24.0" customHeight="1">
      <c r="B945" s="1"/>
    </row>
    <row r="946" ht="24.0" customHeight="1">
      <c r="B946" s="1"/>
    </row>
    <row r="947" ht="24.0" customHeight="1">
      <c r="B947" s="1"/>
    </row>
    <row r="948" ht="24.0" customHeight="1">
      <c r="B948" s="1"/>
    </row>
    <row r="949" ht="24.0" customHeight="1">
      <c r="B949" s="1"/>
    </row>
    <row r="950" ht="24.0" customHeight="1">
      <c r="B950" s="1"/>
    </row>
    <row r="951" ht="24.0" customHeight="1">
      <c r="B951" s="1"/>
    </row>
    <row r="952" ht="24.0" customHeight="1">
      <c r="B952" s="1"/>
    </row>
    <row r="953" ht="24.0" customHeight="1">
      <c r="B953" s="1"/>
    </row>
    <row r="954" ht="24.0" customHeight="1">
      <c r="B954" s="1"/>
    </row>
    <row r="955" ht="24.0" customHeight="1">
      <c r="B955" s="1"/>
    </row>
    <row r="956" ht="24.0" customHeight="1">
      <c r="B956" s="1"/>
    </row>
    <row r="957" ht="24.0" customHeight="1">
      <c r="B957" s="1"/>
    </row>
    <row r="958" ht="24.0" customHeight="1">
      <c r="B958" s="1"/>
    </row>
    <row r="959" ht="24.0" customHeight="1">
      <c r="B959" s="1"/>
    </row>
    <row r="960" ht="24.0" customHeight="1">
      <c r="B960" s="1"/>
    </row>
    <row r="961" ht="24.0" customHeight="1">
      <c r="B961" s="1"/>
    </row>
    <row r="962" ht="24.0" customHeight="1">
      <c r="B962" s="1"/>
    </row>
    <row r="963" ht="24.0" customHeight="1">
      <c r="B963" s="1"/>
    </row>
    <row r="964" ht="24.0" customHeight="1">
      <c r="B964" s="1"/>
    </row>
    <row r="965" ht="24.0" customHeight="1">
      <c r="B965" s="1"/>
    </row>
    <row r="966" ht="24.0" customHeight="1">
      <c r="B966" s="1"/>
    </row>
    <row r="967" ht="24.0" customHeight="1">
      <c r="B967" s="1"/>
    </row>
    <row r="968" ht="24.0" customHeight="1">
      <c r="B968" s="1"/>
    </row>
    <row r="969" ht="24.0" customHeight="1">
      <c r="B969" s="1"/>
    </row>
    <row r="970" ht="24.0" customHeight="1">
      <c r="B970" s="1"/>
    </row>
    <row r="971" ht="24.0" customHeight="1">
      <c r="B971" s="1"/>
    </row>
    <row r="972" ht="24.0" customHeight="1">
      <c r="B972" s="1"/>
    </row>
    <row r="973" ht="24.0" customHeight="1">
      <c r="B973" s="1"/>
    </row>
    <row r="974" ht="24.0" customHeight="1">
      <c r="B974" s="1"/>
    </row>
    <row r="975" ht="24.0" customHeight="1">
      <c r="B975" s="1"/>
    </row>
    <row r="976" ht="24.0" customHeight="1">
      <c r="B976" s="1"/>
    </row>
    <row r="977" ht="24.0" customHeight="1">
      <c r="B977" s="1"/>
    </row>
    <row r="978" ht="24.0" customHeight="1">
      <c r="B978" s="1"/>
    </row>
    <row r="979" ht="24.0" customHeight="1">
      <c r="B979" s="1"/>
    </row>
    <row r="980" ht="24.0" customHeight="1">
      <c r="B980" s="1"/>
    </row>
    <row r="981" ht="24.0" customHeight="1">
      <c r="B981" s="1"/>
    </row>
    <row r="982" ht="24.0" customHeight="1">
      <c r="B982" s="1"/>
    </row>
    <row r="983" ht="24.0" customHeight="1">
      <c r="B983" s="1"/>
    </row>
    <row r="984" ht="24.0" customHeight="1">
      <c r="B984" s="1"/>
    </row>
    <row r="985" ht="24.0" customHeight="1">
      <c r="B985" s="1"/>
    </row>
    <row r="986" ht="24.0" customHeight="1">
      <c r="B986" s="1"/>
    </row>
    <row r="987" ht="24.0" customHeight="1">
      <c r="B987" s="1"/>
    </row>
    <row r="988" ht="24.0" customHeight="1">
      <c r="B988" s="1"/>
    </row>
    <row r="989" ht="24.0" customHeight="1">
      <c r="B989" s="1"/>
    </row>
    <row r="990" ht="24.0" customHeight="1">
      <c r="B990" s="1"/>
    </row>
    <row r="991" ht="24.0" customHeight="1">
      <c r="B991" s="1"/>
    </row>
    <row r="992" ht="24.0" customHeight="1">
      <c r="B992" s="1"/>
    </row>
    <row r="993" ht="24.0" customHeight="1">
      <c r="B993" s="1"/>
    </row>
    <row r="994" ht="24.0" customHeight="1">
      <c r="B994" s="1"/>
    </row>
    <row r="995" ht="24.0" customHeight="1">
      <c r="B995" s="1"/>
    </row>
    <row r="996" ht="24.0" customHeight="1">
      <c r="B996" s="1"/>
    </row>
    <row r="997" ht="24.0" customHeight="1">
      <c r="B997" s="1"/>
    </row>
    <row r="998" ht="24.0" customHeight="1">
      <c r="B998" s="1"/>
    </row>
    <row r="999" ht="24.0" customHeight="1">
      <c r="B999" s="1"/>
    </row>
    <row r="1000" ht="24.0" customHeight="1">
      <c r="B1000" s="1"/>
    </row>
    <row r="1001" ht="24.0" customHeight="1">
      <c r="B1001" s="1"/>
    </row>
    <row r="1002" ht="24.0" customHeight="1">
      <c r="B1002" s="1"/>
    </row>
    <row r="1003" ht="24.0" customHeight="1">
      <c r="B1003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44"/>
    <col customWidth="1" min="2" max="2" width="17.33"/>
    <col customWidth="1" min="3" max="8" width="10.44"/>
    <col customWidth="1" min="9" max="9" width="16.0"/>
    <col customWidth="1" min="10" max="10" width="8.44"/>
    <col customWidth="1" min="11" max="11" width="18.11"/>
    <col customWidth="1" min="12" max="26" width="10.44"/>
  </cols>
  <sheetData>
    <row r="1" ht="15.75" customHeight="1"/>
    <row r="2" ht="15.75" customHeight="1"/>
    <row r="3" ht="15.75" customHeight="1">
      <c r="B3" s="3" t="s">
        <v>12</v>
      </c>
      <c r="C3" s="4"/>
      <c r="D3" s="4"/>
      <c r="E3" s="4"/>
      <c r="F3" s="4"/>
      <c r="G3" s="4"/>
      <c r="H3" s="4"/>
      <c r="I3" s="4"/>
    </row>
    <row r="4" ht="15.75" customHeight="1">
      <c r="B4" s="5" t="s">
        <v>13</v>
      </c>
      <c r="C4" s="5" t="s">
        <v>14</v>
      </c>
      <c r="D4" s="5" t="s">
        <v>15</v>
      </c>
      <c r="E4" s="5" t="s">
        <v>16</v>
      </c>
      <c r="F4" s="6" t="s">
        <v>17</v>
      </c>
      <c r="G4" s="7"/>
      <c r="H4" s="8"/>
      <c r="I4" s="9" t="s">
        <v>18</v>
      </c>
    </row>
    <row r="5" ht="15.75" customHeight="1">
      <c r="B5" s="10"/>
      <c r="C5" s="10"/>
      <c r="D5" s="10"/>
      <c r="E5" s="10"/>
      <c r="F5" s="11" t="s">
        <v>19</v>
      </c>
      <c r="G5" s="11" t="s">
        <v>20</v>
      </c>
      <c r="H5" s="11" t="s">
        <v>21</v>
      </c>
      <c r="I5" s="10"/>
    </row>
    <row r="6" ht="15.75" customHeight="1">
      <c r="B6" s="12" t="s">
        <v>22</v>
      </c>
      <c r="C6" s="13">
        <f t="shared" ref="C6:C35" si="1">MIN(E6:I6)</f>
        <v>100</v>
      </c>
      <c r="D6" s="14">
        <v>102.0</v>
      </c>
      <c r="E6" s="15">
        <v>100.0</v>
      </c>
      <c r="F6" s="15">
        <v>110.0</v>
      </c>
      <c r="G6" s="15">
        <v>120.0</v>
      </c>
      <c r="H6" s="15">
        <v>130.0</v>
      </c>
      <c r="I6" s="15">
        <v>140.0</v>
      </c>
    </row>
    <row r="7" ht="15.75" customHeight="1">
      <c r="B7" s="12" t="s">
        <v>23</v>
      </c>
      <c r="C7" s="13">
        <f t="shared" si="1"/>
        <v>36</v>
      </c>
      <c r="D7" s="14">
        <v>37.0</v>
      </c>
      <c r="E7" s="15">
        <v>36.0</v>
      </c>
      <c r="F7" s="15">
        <v>73.0</v>
      </c>
      <c r="G7" s="15">
        <v>61.0</v>
      </c>
      <c r="H7" s="15">
        <v>80.0</v>
      </c>
      <c r="I7" s="15">
        <v>69.0</v>
      </c>
    </row>
    <row r="8" ht="15.75" customHeight="1">
      <c r="B8" s="12" t="s">
        <v>24</v>
      </c>
      <c r="C8" s="13">
        <f t="shared" si="1"/>
        <v>30</v>
      </c>
      <c r="D8" s="14">
        <v>33.0</v>
      </c>
      <c r="E8" s="15">
        <v>77.0</v>
      </c>
      <c r="F8" s="15">
        <v>53.0</v>
      </c>
      <c r="G8" s="15">
        <v>30.0</v>
      </c>
      <c r="H8" s="15">
        <v>77.0</v>
      </c>
      <c r="I8" s="15">
        <v>74.0</v>
      </c>
    </row>
    <row r="9" ht="15.75" customHeight="1">
      <c r="B9" s="12" t="s">
        <v>25</v>
      </c>
      <c r="C9" s="13">
        <f t="shared" si="1"/>
        <v>44</v>
      </c>
      <c r="D9" s="14">
        <v>44.0</v>
      </c>
      <c r="E9" s="15">
        <v>44.0</v>
      </c>
      <c r="F9" s="15">
        <v>65.0</v>
      </c>
      <c r="G9" s="15">
        <v>76.0</v>
      </c>
      <c r="H9" s="15">
        <v>66.0</v>
      </c>
      <c r="I9" s="15">
        <v>79.0</v>
      </c>
    </row>
    <row r="10" ht="15.75" customHeight="1">
      <c r="B10" s="12" t="s">
        <v>26</v>
      </c>
      <c r="C10" s="13">
        <f t="shared" si="1"/>
        <v>33</v>
      </c>
      <c r="D10" s="14">
        <v>34.0</v>
      </c>
      <c r="E10" s="15">
        <v>60.0</v>
      </c>
      <c r="F10" s="15">
        <v>57.0</v>
      </c>
      <c r="G10" s="15">
        <v>60.0</v>
      </c>
      <c r="H10" s="15">
        <v>33.0</v>
      </c>
      <c r="I10" s="15">
        <v>47.0</v>
      </c>
    </row>
    <row r="11" ht="15.75" customHeight="1">
      <c r="B11" s="12" t="s">
        <v>27</v>
      </c>
      <c r="C11" s="13">
        <f t="shared" si="1"/>
        <v>34</v>
      </c>
      <c r="D11" s="14">
        <v>45.0</v>
      </c>
      <c r="E11" s="15">
        <v>75.0</v>
      </c>
      <c r="F11" s="15">
        <v>50.0</v>
      </c>
      <c r="G11" s="16">
        <v>71.0</v>
      </c>
      <c r="H11" s="15">
        <v>34.0</v>
      </c>
      <c r="I11" s="15">
        <v>53.0</v>
      </c>
    </row>
    <row r="12" ht="15.75" customHeight="1">
      <c r="B12" s="12" t="s">
        <v>28</v>
      </c>
      <c r="C12" s="13">
        <f t="shared" si="1"/>
        <v>48</v>
      </c>
      <c r="D12" s="17">
        <v>49.0</v>
      </c>
      <c r="E12" s="15">
        <v>53.0</v>
      </c>
      <c r="F12" s="15">
        <v>48.0</v>
      </c>
      <c r="G12" s="15">
        <v>63.0</v>
      </c>
      <c r="H12" s="15">
        <v>58.0</v>
      </c>
      <c r="I12" s="15">
        <v>56.0</v>
      </c>
    </row>
    <row r="13" ht="15.75" customHeight="1">
      <c r="B13" s="12" t="s">
        <v>29</v>
      </c>
      <c r="C13" s="13">
        <f t="shared" si="1"/>
        <v>44</v>
      </c>
      <c r="D13" s="17">
        <v>44.0</v>
      </c>
      <c r="E13" s="15">
        <v>44.0</v>
      </c>
      <c r="F13" s="15">
        <v>67.0</v>
      </c>
      <c r="G13" s="15">
        <v>70.0</v>
      </c>
      <c r="H13" s="15">
        <v>45.0</v>
      </c>
      <c r="I13" s="15">
        <v>47.0</v>
      </c>
    </row>
    <row r="14" ht="15.75" customHeight="1">
      <c r="B14" s="12" t="s">
        <v>30</v>
      </c>
      <c r="C14" s="13">
        <f t="shared" si="1"/>
        <v>35</v>
      </c>
      <c r="D14" s="17">
        <v>35.0</v>
      </c>
      <c r="E14" s="15">
        <v>41.0</v>
      </c>
      <c r="F14" s="15">
        <v>62.0</v>
      </c>
      <c r="G14" s="15">
        <v>54.0</v>
      </c>
      <c r="H14" s="15">
        <v>37.0</v>
      </c>
      <c r="I14" s="15">
        <v>35.0</v>
      </c>
    </row>
    <row r="15" ht="15.75" customHeight="1">
      <c r="B15" s="12" t="s">
        <v>31</v>
      </c>
      <c r="C15" s="13">
        <f t="shared" si="1"/>
        <v>36</v>
      </c>
      <c r="D15" s="17">
        <v>37.0</v>
      </c>
      <c r="E15" s="15">
        <v>36.0</v>
      </c>
      <c r="F15" s="15">
        <v>77.0</v>
      </c>
      <c r="G15" s="15">
        <v>51.0</v>
      </c>
      <c r="H15" s="15">
        <v>43.0</v>
      </c>
      <c r="I15" s="15">
        <v>47.0</v>
      </c>
    </row>
    <row r="16" ht="15.75" customHeight="1">
      <c r="B16" s="12" t="s">
        <v>32</v>
      </c>
      <c r="C16" s="13">
        <f t="shared" si="1"/>
        <v>38</v>
      </c>
      <c r="D16" s="17">
        <v>38.0</v>
      </c>
      <c r="E16" s="15">
        <v>46.0</v>
      </c>
      <c r="F16" s="15">
        <v>75.0</v>
      </c>
      <c r="G16" s="15">
        <v>75.0</v>
      </c>
      <c r="H16" s="15">
        <v>38.0</v>
      </c>
      <c r="I16" s="15">
        <v>48.0</v>
      </c>
    </row>
    <row r="17" ht="15.75" customHeight="1">
      <c r="B17" s="12" t="s">
        <v>33</v>
      </c>
      <c r="C17" s="13">
        <f t="shared" si="1"/>
        <v>32</v>
      </c>
      <c r="D17" s="17">
        <v>33.0</v>
      </c>
      <c r="E17" s="15">
        <v>62.0</v>
      </c>
      <c r="F17" s="15">
        <v>45.0</v>
      </c>
      <c r="G17" s="15">
        <v>32.0</v>
      </c>
      <c r="H17" s="15">
        <v>40.0</v>
      </c>
      <c r="I17" s="15">
        <v>53.0</v>
      </c>
    </row>
    <row r="18" ht="15.75" customHeight="1">
      <c r="B18" s="12" t="s">
        <v>34</v>
      </c>
      <c r="C18" s="13">
        <f t="shared" si="1"/>
        <v>38</v>
      </c>
      <c r="D18" s="17">
        <v>39.0</v>
      </c>
      <c r="E18" s="15">
        <v>76.0</v>
      </c>
      <c r="F18" s="15">
        <v>38.0</v>
      </c>
      <c r="G18" s="15">
        <v>66.0</v>
      </c>
      <c r="H18" s="15">
        <v>57.0</v>
      </c>
      <c r="I18" s="15">
        <v>40.0</v>
      </c>
    </row>
    <row r="19" ht="15.75" customHeight="1">
      <c r="B19" s="12" t="s">
        <v>35</v>
      </c>
      <c r="C19" s="13">
        <f t="shared" si="1"/>
        <v>32</v>
      </c>
      <c r="D19" s="17">
        <v>32.0</v>
      </c>
      <c r="E19" s="15">
        <v>54.0</v>
      </c>
      <c r="F19" s="15">
        <v>55.0</v>
      </c>
      <c r="G19" s="15">
        <v>32.0</v>
      </c>
      <c r="H19" s="15">
        <v>75.0</v>
      </c>
      <c r="I19" s="15">
        <v>39.0</v>
      </c>
    </row>
    <row r="20" ht="15.75" customHeight="1">
      <c r="B20" s="12" t="s">
        <v>36</v>
      </c>
      <c r="C20" s="13">
        <f t="shared" si="1"/>
        <v>36</v>
      </c>
      <c r="D20" s="17">
        <v>36.0</v>
      </c>
      <c r="E20" s="15">
        <v>36.0</v>
      </c>
      <c r="F20" s="15">
        <v>42.0</v>
      </c>
      <c r="G20" s="15">
        <v>58.0</v>
      </c>
      <c r="H20" s="15">
        <v>64.0</v>
      </c>
      <c r="I20" s="15">
        <v>36.0</v>
      </c>
    </row>
    <row r="21" ht="15.75" customHeight="1">
      <c r="B21" s="12" t="s">
        <v>37</v>
      </c>
      <c r="C21" s="13">
        <f t="shared" si="1"/>
        <v>31</v>
      </c>
      <c r="D21" s="17">
        <v>32.0</v>
      </c>
      <c r="E21" s="15">
        <v>53.0</v>
      </c>
      <c r="F21" s="15">
        <v>75.0</v>
      </c>
      <c r="G21" s="15">
        <v>31.0</v>
      </c>
      <c r="H21" s="15">
        <v>39.0</v>
      </c>
      <c r="I21" s="15">
        <v>51.0</v>
      </c>
    </row>
    <row r="22" ht="15.75" customHeight="1">
      <c r="B22" s="12" t="s">
        <v>38</v>
      </c>
      <c r="C22" s="13">
        <f t="shared" si="1"/>
        <v>61</v>
      </c>
      <c r="D22" s="17">
        <v>63.0</v>
      </c>
      <c r="E22" s="15">
        <v>67.0</v>
      </c>
      <c r="F22" s="15">
        <v>62.0</v>
      </c>
      <c r="G22" s="15">
        <v>61.0</v>
      </c>
      <c r="H22" s="15">
        <v>70.0</v>
      </c>
      <c r="I22" s="15">
        <v>67.0</v>
      </c>
    </row>
    <row r="23" ht="15.75" customHeight="1">
      <c r="B23" s="12" t="s">
        <v>39</v>
      </c>
      <c r="C23" s="13">
        <f t="shared" si="1"/>
        <v>30</v>
      </c>
      <c r="D23" s="17">
        <v>34.0</v>
      </c>
      <c r="E23" s="15">
        <v>30.0</v>
      </c>
      <c r="F23" s="15">
        <v>31.0</v>
      </c>
      <c r="G23" s="15">
        <v>35.0</v>
      </c>
      <c r="H23" s="15">
        <v>33.0</v>
      </c>
      <c r="I23" s="15">
        <v>32.0</v>
      </c>
    </row>
    <row r="24" ht="15.75" customHeight="1">
      <c r="B24" s="12" t="s">
        <v>40</v>
      </c>
      <c r="C24" s="13">
        <f t="shared" si="1"/>
        <v>35</v>
      </c>
      <c r="D24" s="17">
        <v>36.0</v>
      </c>
      <c r="E24" s="15">
        <v>41.0</v>
      </c>
      <c r="F24" s="15">
        <v>62.0</v>
      </c>
      <c r="G24" s="15">
        <v>54.0</v>
      </c>
      <c r="H24" s="15">
        <v>37.0</v>
      </c>
      <c r="I24" s="15">
        <v>35.0</v>
      </c>
    </row>
    <row r="25" ht="15.75" customHeight="1">
      <c r="B25" s="12" t="s">
        <v>41</v>
      </c>
      <c r="C25" s="13">
        <f t="shared" si="1"/>
        <v>35</v>
      </c>
      <c r="D25" s="17">
        <v>36.0</v>
      </c>
      <c r="E25" s="15">
        <v>41.0</v>
      </c>
      <c r="F25" s="15">
        <v>62.0</v>
      </c>
      <c r="G25" s="15">
        <v>54.0</v>
      </c>
      <c r="H25" s="15">
        <v>37.0</v>
      </c>
      <c r="I25" s="15">
        <v>35.0</v>
      </c>
    </row>
    <row r="26">
      <c r="B26" s="12" t="s">
        <v>42</v>
      </c>
      <c r="C26" s="13">
        <f t="shared" si="1"/>
        <v>35</v>
      </c>
      <c r="D26" s="17">
        <v>36.0</v>
      </c>
      <c r="E26" s="15">
        <v>41.0</v>
      </c>
      <c r="F26" s="15">
        <v>62.0</v>
      </c>
      <c r="G26" s="15">
        <v>54.0</v>
      </c>
      <c r="H26" s="15">
        <v>37.0</v>
      </c>
      <c r="I26" s="15">
        <v>35.0</v>
      </c>
    </row>
    <row r="27" ht="15.75" customHeight="1">
      <c r="B27" s="12" t="s">
        <v>43</v>
      </c>
      <c r="C27" s="13">
        <f t="shared" si="1"/>
        <v>35</v>
      </c>
      <c r="D27" s="17">
        <v>36.0</v>
      </c>
      <c r="E27" s="15">
        <v>41.0</v>
      </c>
      <c r="F27" s="15">
        <v>62.0</v>
      </c>
      <c r="G27" s="15">
        <v>54.0</v>
      </c>
      <c r="H27" s="15">
        <v>37.0</v>
      </c>
      <c r="I27" s="15">
        <v>35.0</v>
      </c>
    </row>
    <row r="28" ht="15.75" customHeight="1">
      <c r="B28" s="12" t="s">
        <v>44</v>
      </c>
      <c r="C28" s="13">
        <f t="shared" si="1"/>
        <v>35</v>
      </c>
      <c r="D28" s="17">
        <v>36.0</v>
      </c>
      <c r="E28" s="15">
        <v>41.0</v>
      </c>
      <c r="F28" s="15">
        <v>62.0</v>
      </c>
      <c r="G28" s="15">
        <v>54.0</v>
      </c>
      <c r="H28" s="15">
        <v>37.0</v>
      </c>
      <c r="I28" s="15">
        <v>35.0</v>
      </c>
    </row>
    <row r="29" ht="15.75" customHeight="1">
      <c r="B29" s="12" t="s">
        <v>45</v>
      </c>
      <c r="C29" s="13">
        <f t="shared" si="1"/>
        <v>35</v>
      </c>
      <c r="D29" s="17">
        <v>36.0</v>
      </c>
      <c r="E29" s="15">
        <v>41.0</v>
      </c>
      <c r="F29" s="15">
        <v>62.0</v>
      </c>
      <c r="G29" s="15">
        <v>54.0</v>
      </c>
      <c r="H29" s="15">
        <v>37.0</v>
      </c>
      <c r="I29" s="15">
        <v>35.0</v>
      </c>
    </row>
    <row r="30" ht="15.75" customHeight="1">
      <c r="B30" s="12" t="s">
        <v>46</v>
      </c>
      <c r="C30" s="13">
        <f t="shared" si="1"/>
        <v>35</v>
      </c>
      <c r="D30" s="17">
        <v>36.0</v>
      </c>
      <c r="E30" s="15">
        <v>41.0</v>
      </c>
      <c r="F30" s="15">
        <v>62.0</v>
      </c>
      <c r="G30" s="15">
        <v>54.0</v>
      </c>
      <c r="H30" s="15">
        <v>37.0</v>
      </c>
      <c r="I30" s="15">
        <v>35.0</v>
      </c>
    </row>
    <row r="31" ht="15.75" customHeight="1">
      <c r="B31" s="12" t="s">
        <v>47</v>
      </c>
      <c r="C31" s="13">
        <f t="shared" si="1"/>
        <v>35</v>
      </c>
      <c r="D31" s="17">
        <v>36.0</v>
      </c>
      <c r="E31" s="15">
        <v>41.0</v>
      </c>
      <c r="F31" s="15">
        <v>62.0</v>
      </c>
      <c r="G31" s="15">
        <v>54.0</v>
      </c>
      <c r="H31" s="15">
        <v>37.0</v>
      </c>
      <c r="I31" s="15">
        <v>35.0</v>
      </c>
    </row>
    <row r="32" ht="15.75" customHeight="1">
      <c r="B32" s="12" t="s">
        <v>48</v>
      </c>
      <c r="C32" s="13">
        <f t="shared" si="1"/>
        <v>35</v>
      </c>
      <c r="D32" s="17">
        <v>36.0</v>
      </c>
      <c r="E32" s="15">
        <v>41.0</v>
      </c>
      <c r="F32" s="15">
        <v>62.0</v>
      </c>
      <c r="G32" s="15">
        <v>54.0</v>
      </c>
      <c r="H32" s="15">
        <v>37.0</v>
      </c>
      <c r="I32" s="15">
        <v>35.0</v>
      </c>
    </row>
    <row r="33" ht="15.75" customHeight="1">
      <c r="B33" s="12" t="s">
        <v>49</v>
      </c>
      <c r="C33" s="13">
        <f t="shared" si="1"/>
        <v>35</v>
      </c>
      <c r="D33" s="17">
        <v>36.0</v>
      </c>
      <c r="E33" s="15">
        <v>41.0</v>
      </c>
      <c r="F33" s="15">
        <v>62.0</v>
      </c>
      <c r="G33" s="15">
        <v>54.0</v>
      </c>
      <c r="H33" s="15">
        <v>37.0</v>
      </c>
      <c r="I33" s="15">
        <v>35.0</v>
      </c>
    </row>
    <row r="34" ht="15.75" customHeight="1">
      <c r="B34" s="12" t="s">
        <v>50</v>
      </c>
      <c r="C34" s="13">
        <f t="shared" si="1"/>
        <v>35</v>
      </c>
      <c r="D34" s="17">
        <v>36.0</v>
      </c>
      <c r="E34" s="15">
        <v>41.0</v>
      </c>
      <c r="F34" s="15">
        <v>62.0</v>
      </c>
      <c r="G34" s="15">
        <v>54.0</v>
      </c>
      <c r="H34" s="15">
        <v>37.0</v>
      </c>
      <c r="I34" s="15">
        <v>35.0</v>
      </c>
    </row>
    <row r="35" ht="15.75" customHeight="1">
      <c r="B35" s="12" t="s">
        <v>51</v>
      </c>
      <c r="C35" s="13">
        <f t="shared" si="1"/>
        <v>35</v>
      </c>
      <c r="D35" s="17">
        <v>36.0</v>
      </c>
      <c r="E35" s="15">
        <v>41.0</v>
      </c>
      <c r="F35" s="15">
        <v>62.0</v>
      </c>
      <c r="G35" s="15">
        <v>54.0</v>
      </c>
      <c r="H35" s="15">
        <v>37.0</v>
      </c>
      <c r="I35" s="15">
        <v>35.0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I3"/>
    <mergeCell ref="B4:B5"/>
    <mergeCell ref="C4:C5"/>
    <mergeCell ref="D4:D5"/>
    <mergeCell ref="E4:E5"/>
    <mergeCell ref="F4:H4"/>
    <mergeCell ref="I4:I5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56"/>
    <col customWidth="1" min="2" max="2" width="18.0"/>
    <col customWidth="1" min="3" max="9" width="10.56"/>
    <col customWidth="1" min="10" max="10" width="2.56"/>
    <col customWidth="1" min="11" max="11" width="4.44"/>
    <col customWidth="1" min="12" max="18" width="10.56"/>
    <col customWidth="1" min="19" max="19" width="13.11"/>
    <col customWidth="1" min="20" max="20" width="14.44"/>
    <col customWidth="1" min="21" max="26" width="10.56"/>
  </cols>
  <sheetData>
    <row r="1" ht="15.75" customHeight="1"/>
    <row r="2" ht="15.75" customHeight="1">
      <c r="K2" s="18" t="s">
        <v>52</v>
      </c>
    </row>
    <row r="3" ht="15.75" customHeight="1">
      <c r="B3" s="3" t="s">
        <v>53</v>
      </c>
      <c r="C3" s="4"/>
      <c r="D3" s="4"/>
      <c r="E3" s="4"/>
      <c r="F3" s="4"/>
      <c r="G3" s="4"/>
      <c r="H3" s="4"/>
      <c r="I3" s="4"/>
    </row>
    <row r="4" ht="15.75" customHeight="1">
      <c r="B4" s="5" t="s">
        <v>13</v>
      </c>
      <c r="C4" s="5" t="s">
        <v>14</v>
      </c>
      <c r="D4" s="5" t="s">
        <v>15</v>
      </c>
      <c r="E4" s="5" t="s">
        <v>16</v>
      </c>
      <c r="F4" s="6" t="s">
        <v>17</v>
      </c>
      <c r="G4" s="7"/>
      <c r="H4" s="8"/>
      <c r="I4" s="9" t="s">
        <v>18</v>
      </c>
      <c r="K4" s="19"/>
      <c r="L4" s="20" t="s">
        <v>13</v>
      </c>
      <c r="M4" s="20" t="s">
        <v>14</v>
      </c>
      <c r="N4" s="20" t="s">
        <v>54</v>
      </c>
      <c r="O4" s="20" t="s">
        <v>16</v>
      </c>
      <c r="P4" s="21" t="s">
        <v>17</v>
      </c>
      <c r="Q4" s="7"/>
      <c r="R4" s="8"/>
      <c r="S4" s="22" t="s">
        <v>18</v>
      </c>
    </row>
    <row r="5" ht="15.75" customHeight="1">
      <c r="B5" s="10"/>
      <c r="C5" s="10"/>
      <c r="D5" s="10"/>
      <c r="E5" s="10"/>
      <c r="F5" s="11" t="s">
        <v>19</v>
      </c>
      <c r="G5" s="11" t="s">
        <v>20</v>
      </c>
      <c r="H5" s="11" t="s">
        <v>21</v>
      </c>
      <c r="I5" s="10"/>
      <c r="L5" s="10"/>
      <c r="M5" s="10"/>
      <c r="N5" s="10"/>
      <c r="O5" s="10"/>
      <c r="P5" s="23" t="s">
        <v>19</v>
      </c>
      <c r="Q5" s="23" t="s">
        <v>20</v>
      </c>
      <c r="R5" s="23" t="s">
        <v>21</v>
      </c>
      <c r="S5" s="10"/>
    </row>
    <row r="6" ht="15.75" customHeight="1">
      <c r="B6" s="24" t="str">
        <f>ResultadosObtidos!B6</f>
        <v>nome instancia 1</v>
      </c>
      <c r="C6" s="11">
        <f>ResultadosObtidos!C6</f>
        <v>100</v>
      </c>
      <c r="D6" s="25">
        <f>IF(ISBLANK(ResultadosObtidos!D6),"",(ResultadosObtidos!D6-$C6)/$C6)</f>
        <v>0.02</v>
      </c>
      <c r="E6" s="25">
        <f>(ResultadosObtidos!E6-$C6)/$C6</f>
        <v>0</v>
      </c>
      <c r="F6" s="25">
        <f>(ResultadosObtidos!F6-$C6)/$C6</f>
        <v>0.1</v>
      </c>
      <c r="G6" s="25">
        <f>(ResultadosObtidos!G6-$C6)/$C6</f>
        <v>0.2</v>
      </c>
      <c r="H6" s="25">
        <f>(ResultadosObtidos!H6-$C6)/$C6</f>
        <v>0.3</v>
      </c>
      <c r="I6" s="25">
        <f>(ResultadosObtidos!I6-$C6)/$C6</f>
        <v>0.4</v>
      </c>
      <c r="L6" s="21" t="s">
        <v>55</v>
      </c>
      <c r="M6" s="26"/>
      <c r="N6" s="27">
        <f t="shared" ref="N6:S6" si="1">AVERAGE(D6:D35)</f>
        <v>0.03830075155</v>
      </c>
      <c r="O6" s="27">
        <f t="shared" si="1"/>
        <v>0.3189011108</v>
      </c>
      <c r="P6" s="27">
        <f t="shared" si="1"/>
        <v>0.6331399405</v>
      </c>
      <c r="Q6" s="27">
        <f t="shared" si="1"/>
        <v>0.4797885664</v>
      </c>
      <c r="R6" s="27">
        <f t="shared" si="1"/>
        <v>0.2711461453</v>
      </c>
      <c r="S6" s="27">
        <f t="shared" si="1"/>
        <v>0.236774532</v>
      </c>
    </row>
    <row r="7" ht="15.75" customHeight="1">
      <c r="B7" s="24" t="str">
        <f>ResultadosObtidos!B7</f>
        <v>nome instancia 2</v>
      </c>
      <c r="C7" s="11">
        <f>ResultadosObtidos!C7</f>
        <v>36</v>
      </c>
      <c r="D7" s="25">
        <f>IF(ISBLANK(ResultadosObtidos!D7),"",(ResultadosObtidos!D7-$C7)/$C7)</f>
        <v>0.02777777778</v>
      </c>
      <c r="E7" s="25">
        <f>(ResultadosObtidos!E7-$C7)/$C7</f>
        <v>0</v>
      </c>
      <c r="F7" s="25">
        <f>(ResultadosObtidos!F7-$C7)/$C7</f>
        <v>1.027777778</v>
      </c>
      <c r="G7" s="25">
        <f>(ResultadosObtidos!G7-$C7)/$C7</f>
        <v>0.6944444444</v>
      </c>
      <c r="H7" s="25">
        <f>(ResultadosObtidos!H7-$C7)/$C7</f>
        <v>1.222222222</v>
      </c>
      <c r="I7" s="25">
        <f>(ResultadosObtidos!I7-$C7)/$C7</f>
        <v>0.9166666667</v>
      </c>
    </row>
    <row r="8" ht="15.75" customHeight="1">
      <c r="B8" s="24" t="str">
        <f>ResultadosObtidos!B8</f>
        <v>nome instancia 3</v>
      </c>
      <c r="C8" s="11">
        <f>ResultadosObtidos!C8</f>
        <v>30</v>
      </c>
      <c r="D8" s="25">
        <f>IF(ISBLANK(ResultadosObtidos!D8),"",(ResultadosObtidos!D8-$C8)/$C8)</f>
        <v>0.1</v>
      </c>
      <c r="E8" s="25">
        <f>(ResultadosObtidos!E8-$C8)/$C8</f>
        <v>1.566666667</v>
      </c>
      <c r="F8" s="25">
        <f>(ResultadosObtidos!F8-$C8)/$C8</f>
        <v>0.7666666667</v>
      </c>
      <c r="G8" s="25">
        <f>(ResultadosObtidos!G8-$C8)/$C8</f>
        <v>0</v>
      </c>
      <c r="H8" s="25">
        <f>(ResultadosObtidos!H8-$C8)/$C8</f>
        <v>1.566666667</v>
      </c>
      <c r="I8" s="25">
        <f>(ResultadosObtidos!I8-$C8)/$C8</f>
        <v>1.466666667</v>
      </c>
    </row>
    <row r="9" ht="15.75" customHeight="1">
      <c r="B9" s="24" t="str">
        <f>ResultadosObtidos!B9</f>
        <v>nome instancia 4</v>
      </c>
      <c r="C9" s="11">
        <f>ResultadosObtidos!C9</f>
        <v>44</v>
      </c>
      <c r="D9" s="25">
        <f>IF(ISBLANK(ResultadosObtidos!D9),"",(ResultadosObtidos!D9-$C9)/$C9)</f>
        <v>0</v>
      </c>
      <c r="E9" s="25">
        <f>(ResultadosObtidos!E9-$C9)/$C9</f>
        <v>0</v>
      </c>
      <c r="F9" s="25">
        <f>(ResultadosObtidos!F9-$C9)/$C9</f>
        <v>0.4772727273</v>
      </c>
      <c r="G9" s="25">
        <f>(ResultadosObtidos!G9-$C9)/$C9</f>
        <v>0.7272727273</v>
      </c>
      <c r="H9" s="25">
        <f>(ResultadosObtidos!H9-$C9)/$C9</f>
        <v>0.5</v>
      </c>
      <c r="I9" s="25">
        <f>(ResultadosObtidos!I9-$C9)/$C9</f>
        <v>0.7954545455</v>
      </c>
    </row>
    <row r="10" ht="15.75" customHeight="1">
      <c r="B10" s="24" t="str">
        <f>ResultadosObtidos!B10</f>
        <v>nome instancia 5</v>
      </c>
      <c r="C10" s="11">
        <f>ResultadosObtidos!C10</f>
        <v>33</v>
      </c>
      <c r="D10" s="25">
        <f>IF(ISBLANK(ResultadosObtidos!D10),"",(ResultadosObtidos!D10-$C10)/$C10)</f>
        <v>0.0303030303</v>
      </c>
      <c r="E10" s="25">
        <f>(ResultadosObtidos!E10-$C10)/$C10</f>
        <v>0.8181818182</v>
      </c>
      <c r="F10" s="25">
        <f>(ResultadosObtidos!F10-$C10)/$C10</f>
        <v>0.7272727273</v>
      </c>
      <c r="G10" s="25">
        <f>(ResultadosObtidos!G10-$C10)/$C10</f>
        <v>0.8181818182</v>
      </c>
      <c r="H10" s="25">
        <f>(ResultadosObtidos!H10-$C10)/$C10</f>
        <v>0</v>
      </c>
      <c r="I10" s="25">
        <f>(ResultadosObtidos!I10-$C10)/$C10</f>
        <v>0.4242424242</v>
      </c>
    </row>
    <row r="11" ht="15.75" customHeight="1">
      <c r="B11" s="24" t="str">
        <f>ResultadosObtidos!B11</f>
        <v>nome instancia 6</v>
      </c>
      <c r="C11" s="11">
        <f>ResultadosObtidos!C11</f>
        <v>34</v>
      </c>
      <c r="D11" s="25">
        <f>IF(ISBLANK(ResultadosObtidos!D11),"",(ResultadosObtidos!D11-$C11)/$C11)</f>
        <v>0.3235294118</v>
      </c>
      <c r="E11" s="25">
        <f>(ResultadosObtidos!E11-$C11)/$C11</f>
        <v>1.205882353</v>
      </c>
      <c r="F11" s="25">
        <f>(ResultadosObtidos!F11-$C11)/$C11</f>
        <v>0.4705882353</v>
      </c>
      <c r="G11" s="25">
        <f>(ResultadosObtidos!G11-$C11)/$C11</f>
        <v>1.088235294</v>
      </c>
      <c r="H11" s="25">
        <f>(ResultadosObtidos!H11-$C11)/$C11</f>
        <v>0</v>
      </c>
      <c r="I11" s="25">
        <f>(ResultadosObtidos!I11-$C11)/$C11</f>
        <v>0.5588235294</v>
      </c>
    </row>
    <row r="12" ht="15.75" customHeight="1">
      <c r="B12" s="24" t="str">
        <f>ResultadosObtidos!B12</f>
        <v>nome instancia 7</v>
      </c>
      <c r="C12" s="11">
        <f>ResultadosObtidos!C12</f>
        <v>48</v>
      </c>
      <c r="D12" s="25">
        <f>IF(ISBLANK(ResultadosObtidos!D12),"",(ResultadosObtidos!D12-$C12)/$C12)</f>
        <v>0.02083333333</v>
      </c>
      <c r="E12" s="25">
        <f>(ResultadosObtidos!E12-$C12)/$C12</f>
        <v>0.1041666667</v>
      </c>
      <c r="F12" s="25">
        <f>(ResultadosObtidos!F12-$C12)/$C12</f>
        <v>0</v>
      </c>
      <c r="G12" s="25">
        <f>(ResultadosObtidos!G12-$C12)/$C12</f>
        <v>0.3125</v>
      </c>
      <c r="H12" s="25">
        <f>(ResultadosObtidos!H12-$C12)/$C12</f>
        <v>0.2083333333</v>
      </c>
      <c r="I12" s="25">
        <f>(ResultadosObtidos!I12-$C12)/$C12</f>
        <v>0.1666666667</v>
      </c>
    </row>
    <row r="13" ht="15.75" customHeight="1">
      <c r="B13" s="24" t="str">
        <f>ResultadosObtidos!B13</f>
        <v>nome instancia 8</v>
      </c>
      <c r="C13" s="11">
        <f>ResultadosObtidos!C13</f>
        <v>44</v>
      </c>
      <c r="D13" s="25">
        <f>IF(ISBLANK(ResultadosObtidos!D13),"",(ResultadosObtidos!D13-$C13)/$C13)</f>
        <v>0</v>
      </c>
      <c r="E13" s="25">
        <f>(ResultadosObtidos!E13-$C13)/$C13</f>
        <v>0</v>
      </c>
      <c r="F13" s="25">
        <f>(ResultadosObtidos!F13-$C13)/$C13</f>
        <v>0.5227272727</v>
      </c>
      <c r="G13" s="25">
        <f>(ResultadosObtidos!G13-$C13)/$C13</f>
        <v>0.5909090909</v>
      </c>
      <c r="H13" s="25">
        <f>(ResultadosObtidos!H13-$C13)/$C13</f>
        <v>0.02272727273</v>
      </c>
      <c r="I13" s="25">
        <f>(ResultadosObtidos!I13-$C13)/$C13</f>
        <v>0.06818181818</v>
      </c>
    </row>
    <row r="14" ht="15.75" customHeight="1">
      <c r="B14" s="24" t="str">
        <f>ResultadosObtidos!B14</f>
        <v>nome instancia 9</v>
      </c>
      <c r="C14" s="11">
        <f>ResultadosObtidos!C14</f>
        <v>35</v>
      </c>
      <c r="D14" s="25">
        <f>IF(ISBLANK(ResultadosObtidos!D14),"",(ResultadosObtidos!D14-$C14)/$C14)</f>
        <v>0</v>
      </c>
      <c r="E14" s="25">
        <f>(ResultadosObtidos!E14-$C14)/$C14</f>
        <v>0.1714285714</v>
      </c>
      <c r="F14" s="25">
        <f>(ResultadosObtidos!F14-$C14)/$C14</f>
        <v>0.7714285714</v>
      </c>
      <c r="G14" s="25">
        <f>(ResultadosObtidos!G14-$C14)/$C14</f>
        <v>0.5428571429</v>
      </c>
      <c r="H14" s="25">
        <f>(ResultadosObtidos!H14-$C14)/$C14</f>
        <v>0.05714285714</v>
      </c>
      <c r="I14" s="25">
        <f>(ResultadosObtidos!I14-$C14)/$C14</f>
        <v>0</v>
      </c>
    </row>
    <row r="15" ht="15.75" customHeight="1">
      <c r="B15" s="24" t="str">
        <f>ResultadosObtidos!B15</f>
        <v>nome instancia 10</v>
      </c>
      <c r="C15" s="11">
        <f>ResultadosObtidos!C15</f>
        <v>36</v>
      </c>
      <c r="D15" s="25">
        <f>IF(ISBLANK(ResultadosObtidos!D15),"",(ResultadosObtidos!D15-$C15)/$C15)</f>
        <v>0.02777777778</v>
      </c>
      <c r="E15" s="25">
        <f>(ResultadosObtidos!E15-$C15)/$C15</f>
        <v>0</v>
      </c>
      <c r="F15" s="25">
        <f>(ResultadosObtidos!F15-$C15)/$C15</f>
        <v>1.138888889</v>
      </c>
      <c r="G15" s="25">
        <f>(ResultadosObtidos!G15-$C15)/$C15</f>
        <v>0.4166666667</v>
      </c>
      <c r="H15" s="25">
        <f>(ResultadosObtidos!H15-$C15)/$C15</f>
        <v>0.1944444444</v>
      </c>
      <c r="I15" s="25">
        <f>(ResultadosObtidos!I15-$C15)/$C15</f>
        <v>0.3055555556</v>
      </c>
    </row>
    <row r="16" ht="15.75" customHeight="1">
      <c r="B16" s="24" t="str">
        <f>ResultadosObtidos!B16</f>
        <v>nome instancia 11</v>
      </c>
      <c r="C16" s="11">
        <f>ResultadosObtidos!C16</f>
        <v>38</v>
      </c>
      <c r="D16" s="25">
        <f>IF(ISBLANK(ResultadosObtidos!D16),"",(ResultadosObtidos!D16-$C16)/$C16)</f>
        <v>0</v>
      </c>
      <c r="E16" s="25">
        <f>(ResultadosObtidos!E16-$C16)/$C16</f>
        <v>0.2105263158</v>
      </c>
      <c r="F16" s="25">
        <f>(ResultadosObtidos!F16-$C16)/$C16</f>
        <v>0.9736842105</v>
      </c>
      <c r="G16" s="25">
        <f>(ResultadosObtidos!G16-$C16)/$C16</f>
        <v>0.9736842105</v>
      </c>
      <c r="H16" s="25">
        <f>(ResultadosObtidos!H16-$C16)/$C16</f>
        <v>0</v>
      </c>
      <c r="I16" s="25">
        <f>(ResultadosObtidos!I16-$C16)/$C16</f>
        <v>0.2631578947</v>
      </c>
    </row>
    <row r="17" ht="15.75" customHeight="1">
      <c r="B17" s="24" t="str">
        <f>ResultadosObtidos!B17</f>
        <v>nome instancia 12</v>
      </c>
      <c r="C17" s="11">
        <f>ResultadosObtidos!C17</f>
        <v>32</v>
      </c>
      <c r="D17" s="25">
        <f>IF(ISBLANK(ResultadosObtidos!D17),"",(ResultadosObtidos!D17-$C17)/$C17)</f>
        <v>0.03125</v>
      </c>
      <c r="E17" s="25">
        <f>(ResultadosObtidos!E17-$C17)/$C17</f>
        <v>0.9375</v>
      </c>
      <c r="F17" s="25">
        <f>(ResultadosObtidos!F17-$C17)/$C17</f>
        <v>0.40625</v>
      </c>
      <c r="G17" s="25">
        <f>(ResultadosObtidos!G17-$C17)/$C17</f>
        <v>0</v>
      </c>
      <c r="H17" s="25">
        <f>(ResultadosObtidos!H17-$C17)/$C17</f>
        <v>0.25</v>
      </c>
      <c r="I17" s="25">
        <f>(ResultadosObtidos!I17-$C17)/$C17</f>
        <v>0.65625</v>
      </c>
    </row>
    <row r="18" ht="15.75" customHeight="1">
      <c r="B18" s="24" t="str">
        <f>ResultadosObtidos!B18</f>
        <v>nome instancia 13</v>
      </c>
      <c r="C18" s="11">
        <f>ResultadosObtidos!C18</f>
        <v>38</v>
      </c>
      <c r="D18" s="25">
        <f>IF(ISBLANK(ResultadosObtidos!D18),"",(ResultadosObtidos!D18-$C18)/$C18)</f>
        <v>0.02631578947</v>
      </c>
      <c r="E18" s="25">
        <f>(ResultadosObtidos!E18-$C18)/$C18</f>
        <v>1</v>
      </c>
      <c r="F18" s="25">
        <f>(ResultadosObtidos!F18-$C18)/$C18</f>
        <v>0</v>
      </c>
      <c r="G18" s="25">
        <f>(ResultadosObtidos!G18-$C18)/$C18</f>
        <v>0.7368421053</v>
      </c>
      <c r="H18" s="25">
        <f>(ResultadosObtidos!H18-$C18)/$C18</f>
        <v>0.5</v>
      </c>
      <c r="I18" s="25">
        <f>(ResultadosObtidos!I18-$C18)/$C18</f>
        <v>0.05263157895</v>
      </c>
    </row>
    <row r="19" ht="15.75" customHeight="1">
      <c r="B19" s="24" t="str">
        <f>ResultadosObtidos!B19</f>
        <v>nome instancia 14</v>
      </c>
      <c r="C19" s="11">
        <f>ResultadosObtidos!C19</f>
        <v>32</v>
      </c>
      <c r="D19" s="25">
        <f>IF(ISBLANK(ResultadosObtidos!D19),"",(ResultadosObtidos!D19-$C19)/$C19)</f>
        <v>0</v>
      </c>
      <c r="E19" s="25">
        <f>(ResultadosObtidos!E19-$C19)/$C19</f>
        <v>0.6875</v>
      </c>
      <c r="F19" s="25">
        <f>(ResultadosObtidos!F19-$C19)/$C19</f>
        <v>0.71875</v>
      </c>
      <c r="G19" s="25">
        <f>(ResultadosObtidos!G19-$C19)/$C19</f>
        <v>0</v>
      </c>
      <c r="H19" s="25">
        <f>(ResultadosObtidos!H19-$C19)/$C19</f>
        <v>1.34375</v>
      </c>
      <c r="I19" s="25">
        <f>(ResultadosObtidos!I19-$C19)/$C19</f>
        <v>0.21875</v>
      </c>
    </row>
    <row r="20" ht="15.75" customHeight="1">
      <c r="B20" s="24" t="str">
        <f>ResultadosObtidos!B20</f>
        <v>nome instancia 15</v>
      </c>
      <c r="C20" s="11">
        <f>ResultadosObtidos!C20</f>
        <v>36</v>
      </c>
      <c r="D20" s="25">
        <f>IF(ISBLANK(ResultadosObtidos!D20),"",(ResultadosObtidos!D20-$C20)/$C20)</f>
        <v>0</v>
      </c>
      <c r="E20" s="25">
        <f>(ResultadosObtidos!E20-$C20)/$C20</f>
        <v>0</v>
      </c>
      <c r="F20" s="25">
        <f>(ResultadosObtidos!F20-$C20)/$C20</f>
        <v>0.1666666667</v>
      </c>
      <c r="G20" s="25">
        <f>(ResultadosObtidos!G20-$C20)/$C20</f>
        <v>0.6111111111</v>
      </c>
      <c r="H20" s="25">
        <f>(ResultadosObtidos!H20-$C20)/$C20</f>
        <v>0.7777777778</v>
      </c>
      <c r="I20" s="25">
        <f>(ResultadosObtidos!I20-$C20)/$C20</f>
        <v>0</v>
      </c>
    </row>
    <row r="21" ht="15.75" customHeight="1">
      <c r="B21" s="24" t="str">
        <f>ResultadosObtidos!B21</f>
        <v>nome instancia 16</v>
      </c>
      <c r="C21" s="11">
        <f>ResultadosObtidos!C21</f>
        <v>31</v>
      </c>
      <c r="D21" s="25">
        <f>IF(ISBLANK(ResultadosObtidos!D21),"",(ResultadosObtidos!D21-$C21)/$C21)</f>
        <v>0.03225806452</v>
      </c>
      <c r="E21" s="25">
        <f>(ResultadosObtidos!E21-$C21)/$C21</f>
        <v>0.7096774194</v>
      </c>
      <c r="F21" s="25">
        <f>(ResultadosObtidos!F21-$C21)/$C21</f>
        <v>1.419354839</v>
      </c>
      <c r="G21" s="25">
        <f>(ResultadosObtidos!G21-$C21)/$C21</f>
        <v>0</v>
      </c>
      <c r="H21" s="25">
        <f>(ResultadosObtidos!H21-$C21)/$C21</f>
        <v>0.2580645161</v>
      </c>
      <c r="I21" s="25">
        <f>(ResultadosObtidos!I21-$C21)/$C21</f>
        <v>0.6451612903</v>
      </c>
    </row>
    <row r="22" ht="15.75" customHeight="1">
      <c r="B22" s="24" t="str">
        <f>ResultadosObtidos!B22</f>
        <v>nome instancia 17</v>
      </c>
      <c r="C22" s="11">
        <f>ResultadosObtidos!C22</f>
        <v>61</v>
      </c>
      <c r="D22" s="25">
        <f>IF(ISBLANK(ResultadosObtidos!D22),"",(ResultadosObtidos!D22-$C22)/$C22)</f>
        <v>0.03278688525</v>
      </c>
      <c r="E22" s="25">
        <f>(ResultadosObtidos!E22-$C22)/$C22</f>
        <v>0.09836065574</v>
      </c>
      <c r="F22" s="25">
        <f>(ResultadosObtidos!F22-$C22)/$C22</f>
        <v>0.01639344262</v>
      </c>
      <c r="G22" s="25">
        <f>(ResultadosObtidos!G22-$C22)/$C22</f>
        <v>0</v>
      </c>
      <c r="H22" s="25">
        <f>(ResultadosObtidos!H22-$C22)/$C22</f>
        <v>0.1475409836</v>
      </c>
      <c r="I22" s="25">
        <f>(ResultadosObtidos!I22-$C22)/$C22</f>
        <v>0.09836065574</v>
      </c>
    </row>
    <row r="23" ht="15.75" customHeight="1">
      <c r="B23" s="24" t="str">
        <f>ResultadosObtidos!B23</f>
        <v>nome instancia 18</v>
      </c>
      <c r="C23" s="11">
        <f>ResultadosObtidos!C23</f>
        <v>30</v>
      </c>
      <c r="D23" s="25">
        <f>IF(ISBLANK(ResultadosObtidos!D23),"",(ResultadosObtidos!D23-$C23)/$C23)</f>
        <v>0.1333333333</v>
      </c>
      <c r="E23" s="25">
        <f>(ResultadosObtidos!E23-$C23)/$C23</f>
        <v>0</v>
      </c>
      <c r="F23" s="25">
        <f>(ResultadosObtidos!F23-$C23)/$C23</f>
        <v>0.03333333333</v>
      </c>
      <c r="G23" s="25">
        <f>(ResultadosObtidos!G23-$C23)/$C23</f>
        <v>0.1666666667</v>
      </c>
      <c r="H23" s="25">
        <f>(ResultadosObtidos!H23-$C23)/$C23</f>
        <v>0.1</v>
      </c>
      <c r="I23" s="25">
        <f>(ResultadosObtidos!I23-$C23)/$C23</f>
        <v>0.06666666667</v>
      </c>
    </row>
    <row r="24" ht="15.75" customHeight="1">
      <c r="B24" s="24" t="str">
        <f>ResultadosObtidos!B24</f>
        <v>nome instancia 19</v>
      </c>
      <c r="C24" s="11">
        <f>ResultadosObtidos!C24</f>
        <v>35</v>
      </c>
      <c r="D24" s="25">
        <f>IF(ISBLANK(ResultadosObtidos!D24),"",(ResultadosObtidos!D24-$C24)/$C24)</f>
        <v>0.02857142857</v>
      </c>
      <c r="E24" s="25">
        <f>(ResultadosObtidos!E24-$C24)/$C24</f>
        <v>0.1714285714</v>
      </c>
      <c r="F24" s="25">
        <f>(ResultadosObtidos!F24-$C24)/$C24</f>
        <v>0.7714285714</v>
      </c>
      <c r="G24" s="25">
        <f>(ResultadosObtidos!G24-$C24)/$C24</f>
        <v>0.5428571429</v>
      </c>
      <c r="H24" s="25">
        <f>(ResultadosObtidos!H24-$C24)/$C24</f>
        <v>0.05714285714</v>
      </c>
      <c r="I24" s="25">
        <f>(ResultadosObtidos!I24-$C24)/$C24</f>
        <v>0</v>
      </c>
    </row>
    <row r="25" ht="15.75" customHeight="1">
      <c r="B25" s="24" t="str">
        <f>ResultadosObtidos!B25</f>
        <v>nome instancia 20</v>
      </c>
      <c r="C25" s="11">
        <f>ResultadosObtidos!C25</f>
        <v>35</v>
      </c>
      <c r="D25" s="25">
        <f>IF(ISBLANK(ResultadosObtidos!D25),"",(ResultadosObtidos!D25-$C25)/$C25)</f>
        <v>0.02857142857</v>
      </c>
      <c r="E25" s="25">
        <f>(ResultadosObtidos!E25-$C25)/$C25</f>
        <v>0.1714285714</v>
      </c>
      <c r="F25" s="25">
        <f>(ResultadosObtidos!F25-$C25)/$C25</f>
        <v>0.7714285714</v>
      </c>
      <c r="G25" s="25">
        <f>(ResultadosObtidos!G25-$C25)/$C25</f>
        <v>0.5428571429</v>
      </c>
      <c r="H25" s="25">
        <f>(ResultadosObtidos!H25-$C25)/$C25</f>
        <v>0.05714285714</v>
      </c>
      <c r="I25" s="25">
        <f>(ResultadosObtidos!I25-$C25)/$C25</f>
        <v>0</v>
      </c>
    </row>
    <row r="26" ht="15.75" customHeight="1">
      <c r="B26" s="24" t="str">
        <f>ResultadosObtidos!B26</f>
        <v>nome instancia 21</v>
      </c>
      <c r="C26" s="11">
        <f>ResultadosObtidos!C26</f>
        <v>35</v>
      </c>
      <c r="D26" s="25">
        <f>IF(ISBLANK(ResultadosObtidos!D26),"",(ResultadosObtidos!D26-$C26)/$C26)</f>
        <v>0.02857142857</v>
      </c>
      <c r="E26" s="25">
        <f>(ResultadosObtidos!E26-$C26)/$C26</f>
        <v>0.1714285714</v>
      </c>
      <c r="F26" s="25">
        <f>(ResultadosObtidos!F26-$C26)/$C26</f>
        <v>0.7714285714</v>
      </c>
      <c r="G26" s="25">
        <f>(ResultadosObtidos!G26-$C26)/$C26</f>
        <v>0.5428571429</v>
      </c>
      <c r="H26" s="25">
        <f>(ResultadosObtidos!H26-$C26)/$C26</f>
        <v>0.05714285714</v>
      </c>
      <c r="I26" s="25">
        <f>(ResultadosObtidos!I26-$C26)/$C26</f>
        <v>0</v>
      </c>
    </row>
    <row r="27" ht="15.75" customHeight="1">
      <c r="B27" s="24" t="str">
        <f>ResultadosObtidos!B27</f>
        <v>nome instancia 22</v>
      </c>
      <c r="C27" s="11">
        <f>ResultadosObtidos!C27</f>
        <v>35</v>
      </c>
      <c r="D27" s="25">
        <f>IF(ISBLANK(ResultadosObtidos!D27),"",(ResultadosObtidos!D27-$C27)/$C27)</f>
        <v>0.02857142857</v>
      </c>
      <c r="E27" s="25">
        <f>(ResultadosObtidos!E27-$C27)/$C27</f>
        <v>0.1714285714</v>
      </c>
      <c r="F27" s="25">
        <f>(ResultadosObtidos!F27-$C27)/$C27</f>
        <v>0.7714285714</v>
      </c>
      <c r="G27" s="25">
        <f>(ResultadosObtidos!G27-$C27)/$C27</f>
        <v>0.5428571429</v>
      </c>
      <c r="H27" s="25">
        <f>(ResultadosObtidos!H27-$C27)/$C27</f>
        <v>0.05714285714</v>
      </c>
      <c r="I27" s="25">
        <f>(ResultadosObtidos!I27-$C27)/$C27</f>
        <v>0</v>
      </c>
    </row>
    <row r="28" ht="15.75" customHeight="1">
      <c r="B28" s="24" t="str">
        <f>ResultadosObtidos!B28</f>
        <v>nome instancia 23</v>
      </c>
      <c r="C28" s="11">
        <f>ResultadosObtidos!C28</f>
        <v>35</v>
      </c>
      <c r="D28" s="25">
        <f>IF(ISBLANK(ResultadosObtidos!D28),"",(ResultadosObtidos!D28-$C28)/$C28)</f>
        <v>0.02857142857</v>
      </c>
      <c r="E28" s="25">
        <f>(ResultadosObtidos!E28-$C28)/$C28</f>
        <v>0.1714285714</v>
      </c>
      <c r="F28" s="25">
        <f>(ResultadosObtidos!F28-$C28)/$C28</f>
        <v>0.7714285714</v>
      </c>
      <c r="G28" s="25">
        <f>(ResultadosObtidos!G28-$C28)/$C28</f>
        <v>0.5428571429</v>
      </c>
      <c r="H28" s="25">
        <f>(ResultadosObtidos!H28-$C28)/$C28</f>
        <v>0.05714285714</v>
      </c>
      <c r="I28" s="25">
        <f>(ResultadosObtidos!I28-$C28)/$C28</f>
        <v>0</v>
      </c>
    </row>
    <row r="29" ht="15.75" customHeight="1">
      <c r="B29" s="24" t="str">
        <f>ResultadosObtidos!B29</f>
        <v>nome instancia 24</v>
      </c>
      <c r="C29" s="11">
        <f>ResultadosObtidos!C29</f>
        <v>35</v>
      </c>
      <c r="D29" s="25">
        <f>IF(ISBLANK(ResultadosObtidos!D29),"",(ResultadosObtidos!D29-$C29)/$C29)</f>
        <v>0.02857142857</v>
      </c>
      <c r="E29" s="25">
        <f>(ResultadosObtidos!E29-$C29)/$C29</f>
        <v>0.1714285714</v>
      </c>
      <c r="F29" s="25">
        <f>(ResultadosObtidos!F29-$C29)/$C29</f>
        <v>0.7714285714</v>
      </c>
      <c r="G29" s="25">
        <f>(ResultadosObtidos!G29-$C29)/$C29</f>
        <v>0.5428571429</v>
      </c>
      <c r="H29" s="25">
        <f>(ResultadosObtidos!H29-$C29)/$C29</f>
        <v>0.05714285714</v>
      </c>
      <c r="I29" s="25">
        <f>(ResultadosObtidos!I29-$C29)/$C29</f>
        <v>0</v>
      </c>
    </row>
    <row r="30" ht="15.75" customHeight="1">
      <c r="B30" s="24" t="str">
        <f>ResultadosObtidos!B30</f>
        <v>nome instancia 25</v>
      </c>
      <c r="C30" s="11">
        <f>ResultadosObtidos!C30</f>
        <v>35</v>
      </c>
      <c r="D30" s="25">
        <f>IF(ISBLANK(ResultadosObtidos!D30),"",(ResultadosObtidos!D30-$C30)/$C30)</f>
        <v>0.02857142857</v>
      </c>
      <c r="E30" s="25">
        <f>(ResultadosObtidos!E30-$C30)/$C30</f>
        <v>0.1714285714</v>
      </c>
      <c r="F30" s="25">
        <f>(ResultadosObtidos!F30-$C30)/$C30</f>
        <v>0.7714285714</v>
      </c>
      <c r="G30" s="25">
        <f>(ResultadosObtidos!G30-$C30)/$C30</f>
        <v>0.5428571429</v>
      </c>
      <c r="H30" s="25">
        <f>(ResultadosObtidos!H30-$C30)/$C30</f>
        <v>0.05714285714</v>
      </c>
      <c r="I30" s="25">
        <f>(ResultadosObtidos!I30-$C30)/$C30</f>
        <v>0</v>
      </c>
    </row>
    <row r="31" ht="15.75" customHeight="1">
      <c r="B31" s="24" t="str">
        <f>ResultadosObtidos!B31</f>
        <v>nome instancia 26</v>
      </c>
      <c r="C31" s="11">
        <f>ResultadosObtidos!C31</f>
        <v>35</v>
      </c>
      <c r="D31" s="25">
        <f>IF(ISBLANK(ResultadosObtidos!D31),"",(ResultadosObtidos!D31-$C31)/$C31)</f>
        <v>0.02857142857</v>
      </c>
      <c r="E31" s="25">
        <f>(ResultadosObtidos!E31-$C31)/$C31</f>
        <v>0.1714285714</v>
      </c>
      <c r="F31" s="25">
        <f>(ResultadosObtidos!F31-$C31)/$C31</f>
        <v>0.7714285714</v>
      </c>
      <c r="G31" s="25">
        <f>(ResultadosObtidos!G31-$C31)/$C31</f>
        <v>0.5428571429</v>
      </c>
      <c r="H31" s="25">
        <f>(ResultadosObtidos!H31-$C31)/$C31</f>
        <v>0.05714285714</v>
      </c>
      <c r="I31" s="25">
        <f>(ResultadosObtidos!I31-$C31)/$C31</f>
        <v>0</v>
      </c>
    </row>
    <row r="32" ht="15.75" customHeight="1">
      <c r="B32" s="24" t="str">
        <f>ResultadosObtidos!B32</f>
        <v>nome instancia 27</v>
      </c>
      <c r="C32" s="11">
        <f>ResultadosObtidos!C32</f>
        <v>35</v>
      </c>
      <c r="D32" s="25">
        <f>IF(ISBLANK(ResultadosObtidos!D32),"",(ResultadosObtidos!D32-$C32)/$C32)</f>
        <v>0.02857142857</v>
      </c>
      <c r="E32" s="25">
        <f>(ResultadosObtidos!E32-$C32)/$C32</f>
        <v>0.1714285714</v>
      </c>
      <c r="F32" s="25">
        <f>(ResultadosObtidos!F32-$C32)/$C32</f>
        <v>0.7714285714</v>
      </c>
      <c r="G32" s="25">
        <f>(ResultadosObtidos!G32-$C32)/$C32</f>
        <v>0.5428571429</v>
      </c>
      <c r="H32" s="25">
        <f>(ResultadosObtidos!H32-$C32)/$C32</f>
        <v>0.05714285714</v>
      </c>
      <c r="I32" s="25">
        <f>(ResultadosObtidos!I32-$C32)/$C32</f>
        <v>0</v>
      </c>
    </row>
    <row r="33" ht="15.75" customHeight="1">
      <c r="B33" s="24" t="str">
        <f>ResultadosObtidos!B33</f>
        <v>nome instancia 28</v>
      </c>
      <c r="C33" s="11">
        <f>ResultadosObtidos!C33</f>
        <v>35</v>
      </c>
      <c r="D33" s="25">
        <f>IF(ISBLANK(ResultadosObtidos!D33),"",(ResultadosObtidos!D33-$C33)/$C33)</f>
        <v>0.02857142857</v>
      </c>
      <c r="E33" s="25">
        <f>(ResultadosObtidos!E33-$C33)/$C33</f>
        <v>0.1714285714</v>
      </c>
      <c r="F33" s="25">
        <f>(ResultadosObtidos!F33-$C33)/$C33</f>
        <v>0.7714285714</v>
      </c>
      <c r="G33" s="25">
        <f>(ResultadosObtidos!G33-$C33)/$C33</f>
        <v>0.5428571429</v>
      </c>
      <c r="H33" s="25">
        <f>(ResultadosObtidos!H33-$C33)/$C33</f>
        <v>0.05714285714</v>
      </c>
      <c r="I33" s="25">
        <f>(ResultadosObtidos!I33-$C33)/$C33</f>
        <v>0</v>
      </c>
    </row>
    <row r="34" ht="15.75" customHeight="1">
      <c r="B34" s="24" t="str">
        <f>ResultadosObtidos!B34</f>
        <v>nome instancia 29</v>
      </c>
      <c r="C34" s="11">
        <f>ResultadosObtidos!C34</f>
        <v>35</v>
      </c>
      <c r="D34" s="25">
        <f>IF(ISBLANK(ResultadosObtidos!D34),"",(ResultadosObtidos!D34-$C34)/$C34)</f>
        <v>0.02857142857</v>
      </c>
      <c r="E34" s="25">
        <f>(ResultadosObtidos!E34-$C34)/$C34</f>
        <v>0.1714285714</v>
      </c>
      <c r="F34" s="25">
        <f>(ResultadosObtidos!F34-$C34)/$C34</f>
        <v>0.7714285714</v>
      </c>
      <c r="G34" s="25">
        <f>(ResultadosObtidos!G34-$C34)/$C34</f>
        <v>0.5428571429</v>
      </c>
      <c r="H34" s="25">
        <f>(ResultadosObtidos!H34-$C34)/$C34</f>
        <v>0.05714285714</v>
      </c>
      <c r="I34" s="25">
        <f>(ResultadosObtidos!I34-$C34)/$C34</f>
        <v>0</v>
      </c>
    </row>
    <row r="35" ht="15.75" customHeight="1">
      <c r="B35" s="24" t="str">
        <f>ResultadosObtidos!B35</f>
        <v>nome instancia 30</v>
      </c>
      <c r="C35" s="11">
        <f>ResultadosObtidos!C35</f>
        <v>35</v>
      </c>
      <c r="D35" s="25">
        <f>IF(ISBLANK(ResultadosObtidos!D35),"",(ResultadosObtidos!D35-$C35)/$C35)</f>
        <v>0.02857142857</v>
      </c>
      <c r="E35" s="25">
        <f>(ResultadosObtidos!E35-$C35)/$C35</f>
        <v>0.1714285714</v>
      </c>
      <c r="F35" s="25">
        <f>(ResultadosObtidos!F35-$C35)/$C35</f>
        <v>0.7714285714</v>
      </c>
      <c r="G35" s="25">
        <f>(ResultadosObtidos!G35-$C35)/$C35</f>
        <v>0.5428571429</v>
      </c>
      <c r="H35" s="25">
        <f>(ResultadosObtidos!H35-$C35)/$C35</f>
        <v>0.05714285714</v>
      </c>
      <c r="I35" s="25">
        <f>(ResultadosObtidos!I35-$C35)/$C35</f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I4:I5"/>
    <mergeCell ref="L4:L5"/>
    <mergeCell ref="M4:M5"/>
    <mergeCell ref="N4:N5"/>
    <mergeCell ref="O4:O5"/>
    <mergeCell ref="P4:R4"/>
    <mergeCell ref="K2:T3"/>
    <mergeCell ref="B3:I3"/>
    <mergeCell ref="B4:B5"/>
    <mergeCell ref="C4:C5"/>
    <mergeCell ref="D4:D5"/>
    <mergeCell ref="E4:E5"/>
    <mergeCell ref="F4:H4"/>
    <mergeCell ref="S4:S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0"/>
    <col customWidth="1" min="2" max="2" width="89.11"/>
    <col customWidth="1" min="3" max="3" width="10.78"/>
    <col customWidth="1" min="4" max="4" width="3.0"/>
    <col customWidth="1" min="5" max="5" width="16.0"/>
    <col customWidth="1" min="6" max="12" width="4.78"/>
    <col customWidth="1" min="13" max="13" width="0.11"/>
    <col customWidth="1" min="14" max="20" width="5.33"/>
    <col customWidth="1" min="21" max="26" width="10.56"/>
  </cols>
  <sheetData>
    <row r="1" ht="15.75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28"/>
      <c r="B2" s="29" t="s">
        <v>56</v>
      </c>
      <c r="C2" s="30">
        <v>0.0</v>
      </c>
      <c r="D2" s="28"/>
      <c r="E2" s="28"/>
      <c r="F2" s="28" t="str">
        <f>IF(C2=0,"0",CONCATENATE("0,",REPT(0,C2)))</f>
        <v>0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28"/>
      <c r="B3" s="29" t="s">
        <v>57</v>
      </c>
      <c r="C3" s="31">
        <v>1.0</v>
      </c>
      <c r="D3" s="28"/>
      <c r="E3" s="28"/>
      <c r="F3" s="28" t="str">
        <f>IF(C3=0,"0",CONCATENATE("0.",REPT(0,C3)))</f>
        <v>0.0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28"/>
      <c r="B5" s="32" t="s">
        <v>58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28"/>
      <c r="B6" s="33" t="str">
        <f>IF(OR(H6="",I6="",J6="",K6="",L6=""),"LINHA VAZIA OU ERRO EM ALGUMA COLUNA",CONCATENATE(E6," &amp; ",N6,O6,P6,Q6,R6,S6,T6))</f>
        <v>\textbf{Média} &amp; 100 &amp; \textbf{0,0 \% } &amp; \textbf{0,3 \% } &amp; \textbf{0,6 \% } &amp; \textbf{0,5 \% } &amp; \textbf{0,3 \% } &amp; \textbf{0,2 \% } \\ </v>
      </c>
      <c r="C6" s="34" t="s">
        <v>59</v>
      </c>
      <c r="D6" s="28"/>
      <c r="E6" s="34" t="s">
        <v>60</v>
      </c>
      <c r="F6" s="28" t="str">
        <f>IFERROR(IF(DesvioPercentual!C6&lt;&gt;"",SUBSTITUTE(TEXT(DesvioPercentual!C6,$F$2),".",","),""),"")</f>
        <v>100</v>
      </c>
      <c r="G6" s="28" t="str">
        <f>IFERROR(IF(DesvioPercentual!N6&lt;&gt;"",SUBSTITUTE(TEXT(DesvioPercentual!N6,$F$3),".",","),""),"")</f>
        <v>0,0</v>
      </c>
      <c r="H6" s="28" t="str">
        <f>IFERROR(IF(DesvioPercentual!O6&lt;&gt;"",SUBSTITUTE(TEXT(DesvioPercentual!O6,$F$3),".",","),""),"")</f>
        <v>0,3</v>
      </c>
      <c r="I6" s="28" t="str">
        <f>IFERROR(IF(DesvioPercentual!P6&lt;&gt;"",SUBSTITUTE(TEXT(DesvioPercentual!P6,$F$3),".",","),""),"")</f>
        <v>0,6</v>
      </c>
      <c r="J6" s="28" t="str">
        <f>IFERROR(IF(DesvioPercentual!Q6&lt;&gt;"",SUBSTITUTE(TEXT(DesvioPercentual!Q6,$F$3),".",","),""),"")</f>
        <v>0,5</v>
      </c>
      <c r="K6" s="28" t="str">
        <f>IFERROR(IF(DesvioPercentual!R6&lt;&gt;"",SUBSTITUTE(TEXT(DesvioPercentual!R6,$F$3),".",","),""),"")</f>
        <v>0,3</v>
      </c>
      <c r="L6" s="28" t="str">
        <f>IFERROR(IF(DesvioPercentual!S6&lt;&gt;"",SUBSTITUTE(TEXT(DesvioPercentual!S6,$F$3),".",","),""),"")</f>
        <v>0,2</v>
      </c>
      <c r="M6" s="28"/>
      <c r="N6" s="28" t="str">
        <f>CONCATENATE(F6," &amp; ")</f>
        <v>100 &amp; </v>
      </c>
      <c r="O6" s="28" t="str">
        <f t="shared" ref="O6:S6" si="1">IF(G6="","",CONCATENATE("\textbf{",G6," \% ","} &amp; "))</f>
        <v>\textbf{0,0 \% } &amp; </v>
      </c>
      <c r="P6" s="28" t="str">
        <f t="shared" si="1"/>
        <v>\textbf{0,3 \% } &amp; </v>
      </c>
      <c r="Q6" s="28" t="str">
        <f t="shared" si="1"/>
        <v>\textbf{0,6 \% } &amp; </v>
      </c>
      <c r="R6" s="28" t="str">
        <f t="shared" si="1"/>
        <v>\textbf{0,5 \% } &amp; </v>
      </c>
      <c r="S6" s="28" t="str">
        <f t="shared" si="1"/>
        <v>\textbf{0,3 \% } &amp; </v>
      </c>
      <c r="T6" s="28" t="str">
        <f>IF(L6="","",CONCATENATE("\textbf{",L6," \% ","} \\ "))</f>
        <v>\textbf{0,2 \% } \\ </v>
      </c>
      <c r="U6" s="28" t="str">
        <f>IF(M6="","",CONCATENATE("\textbf{",M6," \% ","} &amp; "))</f>
        <v/>
      </c>
      <c r="V6" s="28"/>
      <c r="W6" s="28"/>
      <c r="X6" s="28"/>
      <c r="Y6" s="28"/>
      <c r="Z6" s="28"/>
    </row>
    <row r="7" ht="15.75" customHeight="1">
      <c r="A7" s="28"/>
      <c r="B7" s="35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28"/>
      <c r="B8" s="35" t="s">
        <v>61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28"/>
      <c r="B9" s="33" t="str">
        <f t="shared" ref="B9:B45" si="2">IF(OR(H9="",I9="",J9="",K9="",L9=""),"LINHA VAZIA OU ERRO EM ALGUMA COLUNA",CONCATENATE(E9," &amp; ",N9,O9,P9,Q9,R9,S9,T9))</f>
        <v>nome instancia 1 &amp; 100 &amp; 0,0 \%  &amp; \textbf{0,0 \% } &amp; 0,1 \%  &amp; 0,2 \%  &amp; 0,3 \%  &amp; 0,4 \%  \\ </v>
      </c>
      <c r="C9" s="28"/>
      <c r="D9" s="28"/>
      <c r="E9" s="28" t="str">
        <f>DesvioPercentual!B6</f>
        <v>nome instancia 1</v>
      </c>
      <c r="F9" s="28" t="str">
        <f>IFERROR(IF(DesvioPercentual!C6&lt;&gt;"",SUBSTITUTE(TEXT(DesvioPercentual!C6,$F$2),".",","),""),"")</f>
        <v>100</v>
      </c>
      <c r="G9" s="28" t="str">
        <f>IFERROR(IF(DesvioPercentual!D6&lt;&gt;"",SUBSTITUTE(TEXT(DesvioPercentual!D6,$F$3),".",","),""),"")</f>
        <v>0,0</v>
      </c>
      <c r="H9" s="28" t="str">
        <f>IFERROR(IF(DesvioPercentual!E6&lt;&gt;"",SUBSTITUTE(TEXT(DesvioPercentual!E6,$F$3),".",","),""),"")</f>
        <v>0,0</v>
      </c>
      <c r="I9" s="28" t="str">
        <f>IFERROR(IF(DesvioPercentual!F6&lt;&gt;"",SUBSTITUTE(TEXT(DesvioPercentual!F6,$F$3),".",","),""),"")</f>
        <v>0,1</v>
      </c>
      <c r="J9" s="28" t="str">
        <f>IFERROR(IF(DesvioPercentual!G6&lt;&gt;"",SUBSTITUTE(TEXT(DesvioPercentual!G6,$F$3),".",","),""),"")</f>
        <v>0,2</v>
      </c>
      <c r="K9" s="28" t="str">
        <f>IFERROR(IF(DesvioPercentual!H6&lt;&gt;"",SUBSTITUTE(TEXT(DesvioPercentual!H6,$F$3),".",","),""),"")</f>
        <v>0,3</v>
      </c>
      <c r="L9" s="28" t="str">
        <f>IFERROR(IF(DesvioPercentual!I6&lt;&gt;"",SUBSTITUTE(TEXT(DesvioPercentual!I6,$F$3),".",","),""),"")</f>
        <v>0,4</v>
      </c>
      <c r="M9" s="28"/>
      <c r="N9" s="28" t="str">
        <f t="shared" ref="N9:N113" si="3">CONCATENATE(F9," &amp; ")</f>
        <v>100 &amp; </v>
      </c>
      <c r="O9" s="28" t="str">
        <f>IF(G9="","",CONCATENATE(IF(ResultadosObtidos!D6=ResultadosObtidos!$C6,"\textbf{",""),G9," \% ",IF(ResultadosObtidos!D6=ResultadosObtidos!$C6,"} &amp; "," &amp; ")))</f>
        <v>0,0 \%  &amp; </v>
      </c>
      <c r="P9" s="28" t="str">
        <f>IF(H9="","",CONCATENATE(IF(ResultadosObtidos!E6=ResultadosObtidos!$C6,"\textbf{",""),H9," \% ",IF(ResultadosObtidos!E6=ResultadosObtidos!$C6,"} &amp; "," &amp; ")))</f>
        <v>\textbf{0,0 \% } &amp; </v>
      </c>
      <c r="Q9" s="28" t="str">
        <f>IF(I9="","",CONCATENATE(IF(ResultadosObtidos!F6=ResultadosObtidos!$C6,"\textbf{",""),I9," \% ",IF(ResultadosObtidos!F6=ResultadosObtidos!$C6,"} &amp; "," &amp; ")))</f>
        <v>0,1 \%  &amp; </v>
      </c>
      <c r="R9" s="28" t="str">
        <f>IF(J9="","",CONCATENATE(IF(ResultadosObtidos!G6=ResultadosObtidos!$C6,"\textbf{",""),J9," \% ",IF(ResultadosObtidos!G6=ResultadosObtidos!$C6,"} &amp; "," &amp; ")))</f>
        <v>0,2 \%  &amp; </v>
      </c>
      <c r="S9" s="28" t="str">
        <f>IF(K9="","",CONCATENATE(IF(ResultadosObtidos!H6=ResultadosObtidos!$C6,"\textbf{",""),K9," \% ",IF(ResultadosObtidos!H6=ResultadosObtidos!$C6,"} &amp; "," &amp; ")))</f>
        <v>0,3 \%  &amp; </v>
      </c>
      <c r="T9" s="28" t="str">
        <f>IF(L9="","",CONCATENATE(IF(ResultadosObtidos!I6=ResultadosObtidos!$C6,"\textbf{",""),L9," \% ",IF(ResultadosObtidos!I6=ResultadosObtidos!$C6,"} \\ "," \\ ")))</f>
        <v>0,4 \%  \\ </v>
      </c>
      <c r="U9" s="28"/>
      <c r="V9" s="28"/>
      <c r="W9" s="28"/>
      <c r="X9" s="28"/>
      <c r="Y9" s="28"/>
      <c r="Z9" s="28"/>
    </row>
    <row r="10" ht="15.75" customHeight="1">
      <c r="A10" s="28"/>
      <c r="B10" s="33" t="str">
        <f t="shared" si="2"/>
        <v>nome instancia 2 &amp; 36 &amp; 0,0 \%  &amp; \textbf{0,0 \% } &amp; 1,0 \%  &amp; 0,7 \%  &amp; 1,2 \%  &amp; 0,9 \%  \\ </v>
      </c>
      <c r="C10" s="28"/>
      <c r="D10" s="28"/>
      <c r="E10" s="28" t="str">
        <f>ResultadosObtidos!B7</f>
        <v>nome instancia 2</v>
      </c>
      <c r="F10" s="28" t="str">
        <f>IFERROR(IF(DesvioPercentual!C7&lt;&gt;"",SUBSTITUTE(TEXT(DesvioPercentual!C7,$F$2),".",","),""),"")</f>
        <v>36</v>
      </c>
      <c r="G10" s="28" t="str">
        <f>IFERROR(IF(DesvioPercentual!D7&lt;&gt;"",SUBSTITUTE(TEXT(DesvioPercentual!D7,$F$3),".",","),""),"")</f>
        <v>0,0</v>
      </c>
      <c r="H10" s="28" t="str">
        <f>IFERROR(IF(DesvioPercentual!E7&lt;&gt;"",SUBSTITUTE(TEXT(DesvioPercentual!E7,$F$3),".",","),""),"")</f>
        <v>0,0</v>
      </c>
      <c r="I10" s="28" t="str">
        <f>IFERROR(IF(DesvioPercentual!F7&lt;&gt;"",SUBSTITUTE(TEXT(DesvioPercentual!F7,$F$3),".",","),""),"")</f>
        <v>1,0</v>
      </c>
      <c r="J10" s="28" t="str">
        <f>IFERROR(IF(DesvioPercentual!G7&lt;&gt;"",SUBSTITUTE(TEXT(DesvioPercentual!G7,$F$3),".",","),""),"")</f>
        <v>0,7</v>
      </c>
      <c r="K10" s="28" t="str">
        <f>IFERROR(IF(DesvioPercentual!H7&lt;&gt;"",SUBSTITUTE(TEXT(DesvioPercentual!H7,$F$3),".",","),""),"")</f>
        <v>1,2</v>
      </c>
      <c r="L10" s="28" t="str">
        <f>IFERROR(IF(DesvioPercentual!I7&lt;&gt;"",SUBSTITUTE(TEXT(DesvioPercentual!I7,$F$3),".",","),""),"")</f>
        <v>0,9</v>
      </c>
      <c r="M10" s="28"/>
      <c r="N10" s="28" t="str">
        <f t="shared" si="3"/>
        <v>36 &amp; </v>
      </c>
      <c r="O10" s="28" t="str">
        <f>IF(G10="","",CONCATENATE(IF(ResultadosObtidos!D7=ResultadosObtidos!$C7,"\textbf{",""),G10," \% ",IF(ResultadosObtidos!D7=ResultadosObtidos!$C7,"} &amp; "," &amp; ")))</f>
        <v>0,0 \%  &amp; </v>
      </c>
      <c r="P10" s="28" t="str">
        <f>IF(H10="","",CONCATENATE(IF(ResultadosObtidos!E7=ResultadosObtidos!$C7,"\textbf{",""),H10," \% ",IF(ResultadosObtidos!E7=ResultadosObtidos!$C7,"} &amp; "," &amp; ")))</f>
        <v>\textbf{0,0 \% } &amp; </v>
      </c>
      <c r="Q10" s="28" t="str">
        <f>IF(I10="","",CONCATENATE(IF(ResultadosObtidos!F7=ResultadosObtidos!$C7,"\textbf{",""),I10," \% ",IF(ResultadosObtidos!F7=ResultadosObtidos!$C7,"} &amp; "," &amp; ")))</f>
        <v>1,0 \%  &amp; </v>
      </c>
      <c r="R10" s="28" t="str">
        <f>IF(J10="","",CONCATENATE(IF(ResultadosObtidos!G7=ResultadosObtidos!$C7,"\textbf{",""),J10," \% ",IF(ResultadosObtidos!G7=ResultadosObtidos!$C7,"} &amp; "," &amp; ")))</f>
        <v>0,7 \%  &amp; </v>
      </c>
      <c r="S10" s="28" t="str">
        <f>IF(K10="","",CONCATENATE(IF(ResultadosObtidos!H7=ResultadosObtidos!$C7,"\textbf{",""),K10," \% ",IF(ResultadosObtidos!H7=ResultadosObtidos!$C7,"} &amp; "," &amp; ")))</f>
        <v>1,2 \%  &amp; </v>
      </c>
      <c r="T10" s="28" t="str">
        <f>IF(L10="","",CONCATENATE(IF(ResultadosObtidos!I7=ResultadosObtidos!$C7,"\textbf{",""),L10," \% ",IF(ResultadosObtidos!I7=ResultadosObtidos!$C7,"} \\ "," \\ ")))</f>
        <v>0,9 \%  \\ </v>
      </c>
      <c r="U10" s="28"/>
      <c r="V10" s="28"/>
      <c r="W10" s="28"/>
      <c r="X10" s="28"/>
      <c r="Y10" s="28"/>
      <c r="Z10" s="28"/>
    </row>
    <row r="11" ht="15.75" customHeight="1">
      <c r="A11" s="28"/>
      <c r="B11" s="33" t="str">
        <f t="shared" si="2"/>
        <v>nome instancia 3 &amp; 30 &amp; 0,1 \%  &amp; 1,6 \%  &amp; 0,8 \%  &amp; \textbf{0,0 \% } &amp; 1,6 \%  &amp; 1,5 \%  \\ </v>
      </c>
      <c r="C11" s="28"/>
      <c r="D11" s="28"/>
      <c r="E11" s="28" t="str">
        <f>ResultadosObtidos!B8</f>
        <v>nome instancia 3</v>
      </c>
      <c r="F11" s="28" t="str">
        <f>IFERROR(IF(DesvioPercentual!C8&lt;&gt;"",SUBSTITUTE(TEXT(DesvioPercentual!C8,$F$2),".",","),""),"")</f>
        <v>30</v>
      </c>
      <c r="G11" s="28" t="str">
        <f>IFERROR(IF(DesvioPercentual!D8&lt;&gt;"",SUBSTITUTE(TEXT(DesvioPercentual!D8,$F$3),".",","),""),"")</f>
        <v>0,1</v>
      </c>
      <c r="H11" s="28" t="str">
        <f>IFERROR(IF(DesvioPercentual!E8&lt;&gt;"",SUBSTITUTE(TEXT(DesvioPercentual!E8,$F$3),".",","),""),"")</f>
        <v>1,6</v>
      </c>
      <c r="I11" s="28" t="str">
        <f>IFERROR(IF(DesvioPercentual!F8&lt;&gt;"",SUBSTITUTE(TEXT(DesvioPercentual!F8,$F$3),".",","),""),"")</f>
        <v>0,8</v>
      </c>
      <c r="J11" s="28" t="str">
        <f>IFERROR(IF(DesvioPercentual!G8&lt;&gt;"",SUBSTITUTE(TEXT(DesvioPercentual!G8,$F$3),".",","),""),"")</f>
        <v>0,0</v>
      </c>
      <c r="K11" s="28" t="str">
        <f>IFERROR(IF(DesvioPercentual!H8&lt;&gt;"",SUBSTITUTE(TEXT(DesvioPercentual!H8,$F$3),".",","),""),"")</f>
        <v>1,6</v>
      </c>
      <c r="L11" s="28" t="str">
        <f>IFERROR(IF(DesvioPercentual!I8&lt;&gt;"",SUBSTITUTE(TEXT(DesvioPercentual!I8,$F$3),".",","),""),"")</f>
        <v>1,5</v>
      </c>
      <c r="M11" s="28"/>
      <c r="N11" s="28" t="str">
        <f t="shared" si="3"/>
        <v>30 &amp; </v>
      </c>
      <c r="O11" s="28" t="str">
        <f>IF(G11="","",CONCATENATE(IF(ResultadosObtidos!D8=ResultadosObtidos!$C8,"\textbf{",""),G11," \% ",IF(ResultadosObtidos!D8=ResultadosObtidos!$C8,"} &amp; "," &amp; ")))</f>
        <v>0,1 \%  &amp; </v>
      </c>
      <c r="P11" s="28" t="str">
        <f>IF(H11="","",CONCATENATE(IF(ResultadosObtidos!E8=ResultadosObtidos!$C8,"\textbf{",""),H11," \% ",IF(ResultadosObtidos!E8=ResultadosObtidos!$C8,"} &amp; "," &amp; ")))</f>
        <v>1,6 \%  &amp; </v>
      </c>
      <c r="Q11" s="28" t="str">
        <f>IF(I11="","",CONCATENATE(IF(ResultadosObtidos!F8=ResultadosObtidos!$C8,"\textbf{",""),I11," \% ",IF(ResultadosObtidos!F8=ResultadosObtidos!$C8,"} &amp; "," &amp; ")))</f>
        <v>0,8 \%  &amp; </v>
      </c>
      <c r="R11" s="28" t="str">
        <f>IF(J11="","",CONCATENATE(IF(ResultadosObtidos!G8=ResultadosObtidos!$C8,"\textbf{",""),J11," \% ",IF(ResultadosObtidos!G8=ResultadosObtidos!$C8,"} &amp; "," &amp; ")))</f>
        <v>\textbf{0,0 \% } &amp; </v>
      </c>
      <c r="S11" s="28" t="str">
        <f>IF(K11="","",CONCATENATE(IF(ResultadosObtidos!H8=ResultadosObtidos!$C8,"\textbf{",""),K11," \% ",IF(ResultadosObtidos!H8=ResultadosObtidos!$C8,"} &amp; "," &amp; ")))</f>
        <v>1,6 \%  &amp; </v>
      </c>
      <c r="T11" s="28" t="str">
        <f>IF(L11="","",CONCATENATE(IF(ResultadosObtidos!I8=ResultadosObtidos!$C8,"\textbf{",""),L11," \% ",IF(ResultadosObtidos!I8=ResultadosObtidos!$C8,"} \\ "," \\ ")))</f>
        <v>1,5 \%  \\ </v>
      </c>
      <c r="U11" s="28"/>
      <c r="V11" s="28"/>
      <c r="W11" s="28"/>
      <c r="X11" s="28"/>
      <c r="Y11" s="28"/>
      <c r="Z11" s="28"/>
    </row>
    <row r="12" ht="15.75" customHeight="1">
      <c r="A12" s="28"/>
      <c r="B12" s="33" t="str">
        <f t="shared" si="2"/>
        <v>nome instancia 4 &amp; 44 &amp; \textbf{0,0 \% } &amp; \textbf{0,0 \% } &amp; 0,5 \%  &amp; 0,7 \%  &amp; 0,5 \%  &amp; 0,8 \%  \\ </v>
      </c>
      <c r="C12" s="28"/>
      <c r="D12" s="28"/>
      <c r="E12" s="28" t="str">
        <f>ResultadosObtidos!B9</f>
        <v>nome instancia 4</v>
      </c>
      <c r="F12" s="28" t="str">
        <f>IFERROR(IF(DesvioPercentual!C9&lt;&gt;"",SUBSTITUTE(TEXT(DesvioPercentual!C9,$F$2),".",","),""),"")</f>
        <v>44</v>
      </c>
      <c r="G12" s="28" t="str">
        <f>IFERROR(IF(DesvioPercentual!D9&lt;&gt;"",SUBSTITUTE(TEXT(DesvioPercentual!D9,$F$3),".",","),""),"")</f>
        <v>0,0</v>
      </c>
      <c r="H12" s="28" t="str">
        <f>IFERROR(IF(DesvioPercentual!E9&lt;&gt;"",SUBSTITUTE(TEXT(DesvioPercentual!E9,$F$3),".",","),""),"")</f>
        <v>0,0</v>
      </c>
      <c r="I12" s="28" t="str">
        <f>IFERROR(IF(DesvioPercentual!F9&lt;&gt;"",SUBSTITUTE(TEXT(DesvioPercentual!F9,$F$3),".",","),""),"")</f>
        <v>0,5</v>
      </c>
      <c r="J12" s="28" t="str">
        <f>IFERROR(IF(DesvioPercentual!G9&lt;&gt;"",SUBSTITUTE(TEXT(DesvioPercentual!G9,$F$3),".",","),""),"")</f>
        <v>0,7</v>
      </c>
      <c r="K12" s="28" t="str">
        <f>IFERROR(IF(DesvioPercentual!H9&lt;&gt;"",SUBSTITUTE(TEXT(DesvioPercentual!H9,$F$3),".",","),""),"")</f>
        <v>0,5</v>
      </c>
      <c r="L12" s="28" t="str">
        <f>IFERROR(IF(DesvioPercentual!I9&lt;&gt;"",SUBSTITUTE(TEXT(DesvioPercentual!I9,$F$3),".",","),""),"")</f>
        <v>0,8</v>
      </c>
      <c r="M12" s="28"/>
      <c r="N12" s="28" t="str">
        <f t="shared" si="3"/>
        <v>44 &amp; </v>
      </c>
      <c r="O12" s="28" t="str">
        <f>IF(G12="","",CONCATENATE(IF(ResultadosObtidos!D9=ResultadosObtidos!$C9,"\textbf{",""),G12," \% ",IF(ResultadosObtidos!D9=ResultadosObtidos!$C9,"} &amp; "," &amp; ")))</f>
        <v>\textbf{0,0 \% } &amp; </v>
      </c>
      <c r="P12" s="28" t="str">
        <f>IF(H12="","",CONCATENATE(IF(ResultadosObtidos!E9=ResultadosObtidos!$C9,"\textbf{",""),H12," \% ",IF(ResultadosObtidos!E9=ResultadosObtidos!$C9,"} &amp; "," &amp; ")))</f>
        <v>\textbf{0,0 \% } &amp; </v>
      </c>
      <c r="Q12" s="28" t="str">
        <f>IF(I12="","",CONCATENATE(IF(ResultadosObtidos!F9=ResultadosObtidos!$C9,"\textbf{",""),I12," \% ",IF(ResultadosObtidos!F9=ResultadosObtidos!$C9,"} &amp; "," &amp; ")))</f>
        <v>0,5 \%  &amp; </v>
      </c>
      <c r="R12" s="28" t="str">
        <f>IF(J12="","",CONCATENATE(IF(ResultadosObtidos!G9=ResultadosObtidos!$C9,"\textbf{",""),J12," \% ",IF(ResultadosObtidos!G9=ResultadosObtidos!$C9,"} &amp; "," &amp; ")))</f>
        <v>0,7 \%  &amp; </v>
      </c>
      <c r="S12" s="28" t="str">
        <f>IF(K12="","",CONCATENATE(IF(ResultadosObtidos!H9=ResultadosObtidos!$C9,"\textbf{",""),K12," \% ",IF(ResultadosObtidos!H9=ResultadosObtidos!$C9,"} &amp; "," &amp; ")))</f>
        <v>0,5 \%  &amp; </v>
      </c>
      <c r="T12" s="28" t="str">
        <f>IF(L12="","",CONCATENATE(IF(ResultadosObtidos!I9=ResultadosObtidos!$C9,"\textbf{",""),L12," \% ",IF(ResultadosObtidos!I9=ResultadosObtidos!$C9,"} \\ "," \\ ")))</f>
        <v>0,8 \%  \\ </v>
      </c>
      <c r="U12" s="28"/>
      <c r="V12" s="28"/>
      <c r="W12" s="28"/>
      <c r="X12" s="28"/>
      <c r="Y12" s="28"/>
      <c r="Z12" s="28"/>
    </row>
    <row r="13" ht="15.75" customHeight="1">
      <c r="A13" s="28"/>
      <c r="B13" s="33" t="str">
        <f t="shared" si="2"/>
        <v>nome instancia 5 &amp; 33 &amp; 0,0 \%  &amp; 0,8 \%  &amp; 0,7 \%  &amp; 0,8 \%  &amp; \textbf{0,0 \% } &amp; 0,4 \%  \\ </v>
      </c>
      <c r="C13" s="28"/>
      <c r="D13" s="28"/>
      <c r="E13" s="28" t="str">
        <f>ResultadosObtidos!B10</f>
        <v>nome instancia 5</v>
      </c>
      <c r="F13" s="28" t="str">
        <f>IFERROR(IF(DesvioPercentual!C10&lt;&gt;"",SUBSTITUTE(TEXT(DesvioPercentual!C10,$F$2),".",","),""),"")</f>
        <v>33</v>
      </c>
      <c r="G13" s="28" t="str">
        <f>IFERROR(IF(DesvioPercentual!D10&lt;&gt;"",SUBSTITUTE(TEXT(DesvioPercentual!D10,$F$3),".",","),""),"")</f>
        <v>0,0</v>
      </c>
      <c r="H13" s="28" t="str">
        <f>IFERROR(IF(DesvioPercentual!E10&lt;&gt;"",SUBSTITUTE(TEXT(DesvioPercentual!E10,$F$3),".",","),""),"")</f>
        <v>0,8</v>
      </c>
      <c r="I13" s="28" t="str">
        <f>IFERROR(IF(DesvioPercentual!F10&lt;&gt;"",SUBSTITUTE(TEXT(DesvioPercentual!F10,$F$3),".",","),""),"")</f>
        <v>0,7</v>
      </c>
      <c r="J13" s="28" t="str">
        <f>IFERROR(IF(DesvioPercentual!G10&lt;&gt;"",SUBSTITUTE(TEXT(DesvioPercentual!G10,$F$3),".",","),""),"")</f>
        <v>0,8</v>
      </c>
      <c r="K13" s="28" t="str">
        <f>IFERROR(IF(DesvioPercentual!H10&lt;&gt;"",SUBSTITUTE(TEXT(DesvioPercentual!H10,$F$3),".",","),""),"")</f>
        <v>0,0</v>
      </c>
      <c r="L13" s="28" t="str">
        <f>IFERROR(IF(DesvioPercentual!I10&lt;&gt;"",SUBSTITUTE(TEXT(DesvioPercentual!I10,$F$3),".",","),""),"")</f>
        <v>0,4</v>
      </c>
      <c r="M13" s="28"/>
      <c r="N13" s="28" t="str">
        <f t="shared" si="3"/>
        <v>33 &amp; </v>
      </c>
      <c r="O13" s="28" t="str">
        <f>IF(G13="","",CONCATENATE(IF(ResultadosObtidos!D10=ResultadosObtidos!$C10,"\textbf{",""),G13," \% ",IF(ResultadosObtidos!D10=ResultadosObtidos!$C10,"} &amp; "," &amp; ")))</f>
        <v>0,0 \%  &amp; </v>
      </c>
      <c r="P13" s="28" t="str">
        <f>IF(H13="","",CONCATENATE(IF(ResultadosObtidos!E10=ResultadosObtidos!$C10,"\textbf{",""),H13," \% ",IF(ResultadosObtidos!E10=ResultadosObtidos!$C10,"} &amp; "," &amp; ")))</f>
        <v>0,8 \%  &amp; </v>
      </c>
      <c r="Q13" s="28" t="str">
        <f>IF(I13="","",CONCATENATE(IF(ResultadosObtidos!F10=ResultadosObtidos!$C10,"\textbf{",""),I13," \% ",IF(ResultadosObtidos!F10=ResultadosObtidos!$C10,"} &amp; "," &amp; ")))</f>
        <v>0,7 \%  &amp; </v>
      </c>
      <c r="R13" s="28" t="str">
        <f>IF(J13="","",CONCATENATE(IF(ResultadosObtidos!G10=ResultadosObtidos!$C10,"\textbf{",""),J13," \% ",IF(ResultadosObtidos!G10=ResultadosObtidos!$C10,"} &amp; "," &amp; ")))</f>
        <v>0,8 \%  &amp; </v>
      </c>
      <c r="S13" s="28" t="str">
        <f>IF(K13="","",CONCATENATE(IF(ResultadosObtidos!H10=ResultadosObtidos!$C10,"\textbf{",""),K13," \% ",IF(ResultadosObtidos!H10=ResultadosObtidos!$C10,"} &amp; "," &amp; ")))</f>
        <v>\textbf{0,0 \% } &amp; </v>
      </c>
      <c r="T13" s="28" t="str">
        <f>IF(L13="","",CONCATENATE(IF(ResultadosObtidos!I10=ResultadosObtidos!$C10,"\textbf{",""),L13," \% ",IF(ResultadosObtidos!I10=ResultadosObtidos!$C10,"} \\ "," \\ ")))</f>
        <v>0,4 \%  \\ </v>
      </c>
      <c r="U13" s="28"/>
      <c r="V13" s="28"/>
      <c r="W13" s="28"/>
      <c r="X13" s="28"/>
      <c r="Y13" s="28"/>
      <c r="Z13" s="28"/>
    </row>
    <row r="14" ht="15.75" customHeight="1">
      <c r="A14" s="28"/>
      <c r="B14" s="33" t="str">
        <f t="shared" si="2"/>
        <v>nome instancia 6 &amp; 34 &amp; 0,3 \%  &amp; 1,2 \%  &amp; 0,5 \%  &amp; 1,1 \%  &amp; \textbf{0,0 \% } &amp; 0,6 \%  \\ </v>
      </c>
      <c r="C14" s="28"/>
      <c r="D14" s="28"/>
      <c r="E14" s="28" t="str">
        <f>ResultadosObtidos!B11</f>
        <v>nome instancia 6</v>
      </c>
      <c r="F14" s="28" t="str">
        <f>IFERROR(IF(DesvioPercentual!C11&lt;&gt;"",SUBSTITUTE(TEXT(DesvioPercentual!C11,$F$2),".",","),""),"")</f>
        <v>34</v>
      </c>
      <c r="G14" s="28" t="str">
        <f>IFERROR(IF(DesvioPercentual!D11&lt;&gt;"",SUBSTITUTE(TEXT(DesvioPercentual!D11,$F$3),".",","),""),"")</f>
        <v>0,3</v>
      </c>
      <c r="H14" s="28" t="str">
        <f>IFERROR(IF(DesvioPercentual!E11&lt;&gt;"",SUBSTITUTE(TEXT(DesvioPercentual!E11,$F$3),".",","),""),"")</f>
        <v>1,2</v>
      </c>
      <c r="I14" s="28" t="str">
        <f>IFERROR(IF(DesvioPercentual!F11&lt;&gt;"",SUBSTITUTE(TEXT(DesvioPercentual!F11,$F$3),".",","),""),"")</f>
        <v>0,5</v>
      </c>
      <c r="J14" s="28" t="str">
        <f>IFERROR(IF(DesvioPercentual!G11&lt;&gt;"",SUBSTITUTE(TEXT(DesvioPercentual!G11,$F$3),".",","),""),"")</f>
        <v>1,1</v>
      </c>
      <c r="K14" s="28" t="str">
        <f>IFERROR(IF(DesvioPercentual!H11&lt;&gt;"",SUBSTITUTE(TEXT(DesvioPercentual!H11,$F$3),".",","),""),"")</f>
        <v>0,0</v>
      </c>
      <c r="L14" s="28" t="str">
        <f>IFERROR(IF(DesvioPercentual!I11&lt;&gt;"",SUBSTITUTE(TEXT(DesvioPercentual!I11,$F$3),".",","),""),"")</f>
        <v>0,6</v>
      </c>
      <c r="M14" s="28"/>
      <c r="N14" s="28" t="str">
        <f t="shared" si="3"/>
        <v>34 &amp; </v>
      </c>
      <c r="O14" s="28" t="str">
        <f>IF(G14="","",CONCATENATE(IF(ResultadosObtidos!D11=ResultadosObtidos!$C11,"\textbf{",""),G14," \% ",IF(ResultadosObtidos!D11=ResultadosObtidos!$C11,"} &amp; "," &amp; ")))</f>
        <v>0,3 \%  &amp; </v>
      </c>
      <c r="P14" s="28" t="str">
        <f>IF(H14="","",CONCATENATE(IF(ResultadosObtidos!E11=ResultadosObtidos!$C11,"\textbf{",""),H14," \% ",IF(ResultadosObtidos!E11=ResultadosObtidos!$C11,"} &amp; "," &amp; ")))</f>
        <v>1,2 \%  &amp; </v>
      </c>
      <c r="Q14" s="28" t="str">
        <f>IF(I14="","",CONCATENATE(IF(ResultadosObtidos!F11=ResultadosObtidos!$C11,"\textbf{",""),I14," \% ",IF(ResultadosObtidos!F11=ResultadosObtidos!$C11,"} &amp; "," &amp; ")))</f>
        <v>0,5 \%  &amp; </v>
      </c>
      <c r="R14" s="28" t="str">
        <f>IF(J14="","",CONCATENATE(IF(ResultadosObtidos!G11=ResultadosObtidos!$C11,"\textbf{",""),J14," \% ",IF(ResultadosObtidos!G11=ResultadosObtidos!$C11,"} &amp; "," &amp; ")))</f>
        <v>1,1 \%  &amp; </v>
      </c>
      <c r="S14" s="28" t="str">
        <f>IF(K14="","",CONCATENATE(IF(ResultadosObtidos!H11=ResultadosObtidos!$C11,"\textbf{",""),K14," \% ",IF(ResultadosObtidos!H11=ResultadosObtidos!$C11,"} &amp; "," &amp; ")))</f>
        <v>\textbf{0,0 \% } &amp; </v>
      </c>
      <c r="T14" s="28" t="str">
        <f>IF(L14="","",CONCATENATE(IF(ResultadosObtidos!I11=ResultadosObtidos!$C11,"\textbf{",""),L14," \% ",IF(ResultadosObtidos!I11=ResultadosObtidos!$C11,"} \\ "," \\ ")))</f>
        <v>0,6 \%  \\ </v>
      </c>
      <c r="U14" s="28"/>
      <c r="V14" s="28"/>
      <c r="W14" s="28"/>
      <c r="X14" s="28"/>
      <c r="Y14" s="28"/>
      <c r="Z14" s="28"/>
    </row>
    <row r="15" ht="15.75" customHeight="1">
      <c r="A15" s="28"/>
      <c r="B15" s="33" t="str">
        <f t="shared" si="2"/>
        <v>nome instancia 7 &amp; 48 &amp; 0,0 \%  &amp; 0,1 \%  &amp; \textbf{0,0 \% } &amp; 0,3 \%  &amp; 0,2 \%  &amp; 0,2 \%  \\ </v>
      </c>
      <c r="C15" s="28"/>
      <c r="D15" s="28"/>
      <c r="E15" s="28" t="str">
        <f>ResultadosObtidos!B12</f>
        <v>nome instancia 7</v>
      </c>
      <c r="F15" s="28" t="str">
        <f>IFERROR(IF(DesvioPercentual!C12&lt;&gt;"",SUBSTITUTE(TEXT(DesvioPercentual!C12,$F$2),".",","),""),"")</f>
        <v>48</v>
      </c>
      <c r="G15" s="28" t="str">
        <f>IFERROR(IF(DesvioPercentual!D12&lt;&gt;"",SUBSTITUTE(TEXT(DesvioPercentual!D12,$F$3),".",","),""),"")</f>
        <v>0,0</v>
      </c>
      <c r="H15" s="28" t="str">
        <f>IFERROR(IF(DesvioPercentual!E12&lt;&gt;"",SUBSTITUTE(TEXT(DesvioPercentual!E12,$F$3),".",","),""),"")</f>
        <v>0,1</v>
      </c>
      <c r="I15" s="28" t="str">
        <f>IFERROR(IF(DesvioPercentual!F12&lt;&gt;"",SUBSTITUTE(TEXT(DesvioPercentual!F12,$F$3),".",","),""),"")</f>
        <v>0,0</v>
      </c>
      <c r="J15" s="28" t="str">
        <f>IFERROR(IF(DesvioPercentual!G12&lt;&gt;"",SUBSTITUTE(TEXT(DesvioPercentual!G12,$F$3),".",","),""),"")</f>
        <v>0,3</v>
      </c>
      <c r="K15" s="28" t="str">
        <f>IFERROR(IF(DesvioPercentual!H12&lt;&gt;"",SUBSTITUTE(TEXT(DesvioPercentual!H12,$F$3),".",","),""),"")</f>
        <v>0,2</v>
      </c>
      <c r="L15" s="28" t="str">
        <f>IFERROR(IF(DesvioPercentual!I12&lt;&gt;"",SUBSTITUTE(TEXT(DesvioPercentual!I12,$F$3),".",","),""),"")</f>
        <v>0,2</v>
      </c>
      <c r="M15" s="28"/>
      <c r="N15" s="28" t="str">
        <f t="shared" si="3"/>
        <v>48 &amp; </v>
      </c>
      <c r="O15" s="28" t="str">
        <f>IF(G15="","",CONCATENATE(IF(ResultadosObtidos!D12=ResultadosObtidos!$C12,"\textbf{",""),G15," \% ",IF(ResultadosObtidos!D12=ResultadosObtidos!$C12,"} &amp; "," &amp; ")))</f>
        <v>0,0 \%  &amp; </v>
      </c>
      <c r="P15" s="28" t="str">
        <f>IF(H15="","",CONCATENATE(IF(ResultadosObtidos!E12=ResultadosObtidos!$C12,"\textbf{",""),H15," \% ",IF(ResultadosObtidos!E12=ResultadosObtidos!$C12,"} &amp; "," &amp; ")))</f>
        <v>0,1 \%  &amp; </v>
      </c>
      <c r="Q15" s="28" t="str">
        <f>IF(I15="","",CONCATENATE(IF(ResultadosObtidos!F12=ResultadosObtidos!$C12,"\textbf{",""),I15," \% ",IF(ResultadosObtidos!F12=ResultadosObtidos!$C12,"} &amp; "," &amp; ")))</f>
        <v>\textbf{0,0 \% } &amp; </v>
      </c>
      <c r="R15" s="28" t="str">
        <f>IF(J15="","",CONCATENATE(IF(ResultadosObtidos!G12=ResultadosObtidos!$C12,"\textbf{",""),J15," \% ",IF(ResultadosObtidos!G12=ResultadosObtidos!$C12,"} &amp; "," &amp; ")))</f>
        <v>0,3 \%  &amp; </v>
      </c>
      <c r="S15" s="28" t="str">
        <f>IF(K15="","",CONCATENATE(IF(ResultadosObtidos!H12=ResultadosObtidos!$C12,"\textbf{",""),K15," \% ",IF(ResultadosObtidos!H12=ResultadosObtidos!$C12,"} &amp; "," &amp; ")))</f>
        <v>0,2 \%  &amp; </v>
      </c>
      <c r="T15" s="28" t="str">
        <f>IF(L15="","",CONCATENATE(IF(ResultadosObtidos!I12=ResultadosObtidos!$C12,"\textbf{",""),L15," \% ",IF(ResultadosObtidos!I12=ResultadosObtidos!$C12,"} \\ "," \\ ")))</f>
        <v>0,2 \%  \\ </v>
      </c>
      <c r="U15" s="28"/>
      <c r="V15" s="28"/>
      <c r="W15" s="28"/>
      <c r="X15" s="28"/>
      <c r="Y15" s="28"/>
      <c r="Z15" s="28"/>
    </row>
    <row r="16" ht="15.75" customHeight="1">
      <c r="A16" s="28"/>
      <c r="B16" s="33" t="str">
        <f t="shared" si="2"/>
        <v>nome instancia 8 &amp; 44 &amp; \textbf{0,0 \% } &amp; \textbf{0,0 \% } &amp; 0,5 \%  &amp; 0,6 \%  &amp; 0,0 \%  &amp; 0,1 \%  \\ </v>
      </c>
      <c r="C16" s="28"/>
      <c r="D16" s="28"/>
      <c r="E16" s="28" t="str">
        <f>ResultadosObtidos!B13</f>
        <v>nome instancia 8</v>
      </c>
      <c r="F16" s="28" t="str">
        <f>IFERROR(IF(DesvioPercentual!C13&lt;&gt;"",SUBSTITUTE(TEXT(DesvioPercentual!C13,$F$2),".",","),""),"")</f>
        <v>44</v>
      </c>
      <c r="G16" s="28" t="str">
        <f>IFERROR(IF(DesvioPercentual!D13&lt;&gt;"",SUBSTITUTE(TEXT(DesvioPercentual!D13,$F$3),".",","),""),"")</f>
        <v>0,0</v>
      </c>
      <c r="H16" s="28" t="str">
        <f>IFERROR(IF(DesvioPercentual!E13&lt;&gt;"",SUBSTITUTE(TEXT(DesvioPercentual!E13,$F$3),".",","),""),"")</f>
        <v>0,0</v>
      </c>
      <c r="I16" s="28" t="str">
        <f>IFERROR(IF(DesvioPercentual!F13&lt;&gt;"",SUBSTITUTE(TEXT(DesvioPercentual!F13,$F$3),".",","),""),"")</f>
        <v>0,5</v>
      </c>
      <c r="J16" s="28" t="str">
        <f>IFERROR(IF(DesvioPercentual!G13&lt;&gt;"",SUBSTITUTE(TEXT(DesvioPercentual!G13,$F$3),".",","),""),"")</f>
        <v>0,6</v>
      </c>
      <c r="K16" s="28" t="str">
        <f>IFERROR(IF(DesvioPercentual!H13&lt;&gt;"",SUBSTITUTE(TEXT(DesvioPercentual!H13,$F$3),".",","),""),"")</f>
        <v>0,0</v>
      </c>
      <c r="L16" s="28" t="str">
        <f>IFERROR(IF(DesvioPercentual!I13&lt;&gt;"",SUBSTITUTE(TEXT(DesvioPercentual!I13,$F$3),".",","),""),"")</f>
        <v>0,1</v>
      </c>
      <c r="M16" s="28"/>
      <c r="N16" s="28" t="str">
        <f t="shared" si="3"/>
        <v>44 &amp; </v>
      </c>
      <c r="O16" s="28" t="str">
        <f>IF(G16="","",CONCATENATE(IF(ResultadosObtidos!D13=ResultadosObtidos!$C13,"\textbf{",""),G16," \% ",IF(ResultadosObtidos!D13=ResultadosObtidos!$C13,"} &amp; "," &amp; ")))</f>
        <v>\textbf{0,0 \% } &amp; </v>
      </c>
      <c r="P16" s="28" t="str">
        <f>IF(H16="","",CONCATENATE(IF(ResultadosObtidos!E13=ResultadosObtidos!$C13,"\textbf{",""),H16," \% ",IF(ResultadosObtidos!E13=ResultadosObtidos!$C13,"} &amp; "," &amp; ")))</f>
        <v>\textbf{0,0 \% } &amp; </v>
      </c>
      <c r="Q16" s="28" t="str">
        <f>IF(I16="","",CONCATENATE(IF(ResultadosObtidos!F13=ResultadosObtidos!$C13,"\textbf{",""),I16," \% ",IF(ResultadosObtidos!F13=ResultadosObtidos!$C13,"} &amp; "," &amp; ")))</f>
        <v>0,5 \%  &amp; </v>
      </c>
      <c r="R16" s="28" t="str">
        <f>IF(J16="","",CONCATENATE(IF(ResultadosObtidos!G13=ResultadosObtidos!$C13,"\textbf{",""),J16," \% ",IF(ResultadosObtidos!G13=ResultadosObtidos!$C13,"} &amp; "," &amp; ")))</f>
        <v>0,6 \%  &amp; </v>
      </c>
      <c r="S16" s="28" t="str">
        <f>IF(K16="","",CONCATENATE(IF(ResultadosObtidos!H13=ResultadosObtidos!$C13,"\textbf{",""),K16," \% ",IF(ResultadosObtidos!H13=ResultadosObtidos!$C13,"} &amp; "," &amp; ")))</f>
        <v>0,0 \%  &amp; </v>
      </c>
      <c r="T16" s="28" t="str">
        <f>IF(L16="","",CONCATENATE(IF(ResultadosObtidos!I13=ResultadosObtidos!$C13,"\textbf{",""),L16," \% ",IF(ResultadosObtidos!I13=ResultadosObtidos!$C13,"} \\ "," \\ ")))</f>
        <v>0,1 \%  \\ </v>
      </c>
      <c r="U16" s="28"/>
      <c r="V16" s="28"/>
      <c r="W16" s="28"/>
      <c r="X16" s="28"/>
      <c r="Y16" s="28"/>
      <c r="Z16" s="28"/>
    </row>
    <row r="17" ht="15.75" customHeight="1">
      <c r="A17" s="28"/>
      <c r="B17" s="33" t="str">
        <f t="shared" si="2"/>
        <v>nome instancia 9 &amp; 35 &amp; \textbf{0,0 \% } &amp; 0,2 \%  &amp; 0,8 \%  &amp; 0,5 \%  &amp; 0,1 \%  &amp; \textbf{0,0 \% } \\ </v>
      </c>
      <c r="C17" s="28"/>
      <c r="D17" s="28"/>
      <c r="E17" s="28" t="str">
        <f>ResultadosObtidos!B14</f>
        <v>nome instancia 9</v>
      </c>
      <c r="F17" s="28" t="str">
        <f>IFERROR(IF(DesvioPercentual!C14&lt;&gt;"",SUBSTITUTE(TEXT(DesvioPercentual!C14,$F$2),".",","),""),"")</f>
        <v>35</v>
      </c>
      <c r="G17" s="28" t="str">
        <f>IFERROR(IF(DesvioPercentual!D14&lt;&gt;"",SUBSTITUTE(TEXT(DesvioPercentual!D14,$F$3),".",","),""),"")</f>
        <v>0,0</v>
      </c>
      <c r="H17" s="28" t="str">
        <f>IFERROR(IF(DesvioPercentual!E14&lt;&gt;"",SUBSTITUTE(TEXT(DesvioPercentual!E14,$F$3),".",","),""),"")</f>
        <v>0,2</v>
      </c>
      <c r="I17" s="28" t="str">
        <f>IFERROR(IF(DesvioPercentual!F14&lt;&gt;"",SUBSTITUTE(TEXT(DesvioPercentual!F14,$F$3),".",","),""),"")</f>
        <v>0,8</v>
      </c>
      <c r="J17" s="28" t="str">
        <f>IFERROR(IF(DesvioPercentual!G14&lt;&gt;"",SUBSTITUTE(TEXT(DesvioPercentual!G14,$F$3),".",","),""),"")</f>
        <v>0,5</v>
      </c>
      <c r="K17" s="28" t="str">
        <f>IFERROR(IF(DesvioPercentual!H14&lt;&gt;"",SUBSTITUTE(TEXT(DesvioPercentual!H14,$F$3),".",","),""),"")</f>
        <v>0,1</v>
      </c>
      <c r="L17" s="28" t="str">
        <f>IFERROR(IF(DesvioPercentual!I14&lt;&gt;"",SUBSTITUTE(TEXT(DesvioPercentual!I14,$F$3),".",","),""),"")</f>
        <v>0,0</v>
      </c>
      <c r="M17" s="28"/>
      <c r="N17" s="28" t="str">
        <f t="shared" si="3"/>
        <v>35 &amp; </v>
      </c>
      <c r="O17" s="28" t="str">
        <f>IF(G17="","",CONCATENATE(IF(ResultadosObtidos!D14=ResultadosObtidos!$C14,"\textbf{",""),G17," \% ",IF(ResultadosObtidos!D14=ResultadosObtidos!$C14,"} &amp; "," &amp; ")))</f>
        <v>\textbf{0,0 \% } &amp; </v>
      </c>
      <c r="P17" s="28" t="str">
        <f>IF(H17="","",CONCATENATE(IF(ResultadosObtidos!E14=ResultadosObtidos!$C14,"\textbf{",""),H17," \% ",IF(ResultadosObtidos!E14=ResultadosObtidos!$C14,"} &amp; "," &amp; ")))</f>
        <v>0,2 \%  &amp; </v>
      </c>
      <c r="Q17" s="28" t="str">
        <f>IF(I17="","",CONCATENATE(IF(ResultadosObtidos!F14=ResultadosObtidos!$C14,"\textbf{",""),I17," \% ",IF(ResultadosObtidos!F14=ResultadosObtidos!$C14,"} &amp; "," &amp; ")))</f>
        <v>0,8 \%  &amp; </v>
      </c>
      <c r="R17" s="28" t="str">
        <f>IF(J17="","",CONCATENATE(IF(ResultadosObtidos!G14=ResultadosObtidos!$C14,"\textbf{",""),J17," \% ",IF(ResultadosObtidos!G14=ResultadosObtidos!$C14,"} &amp; "," &amp; ")))</f>
        <v>0,5 \%  &amp; </v>
      </c>
      <c r="S17" s="28" t="str">
        <f>IF(K17="","",CONCATENATE(IF(ResultadosObtidos!H14=ResultadosObtidos!$C14,"\textbf{",""),K17," \% ",IF(ResultadosObtidos!H14=ResultadosObtidos!$C14,"} &amp; "," &amp; ")))</f>
        <v>0,1 \%  &amp; </v>
      </c>
      <c r="T17" s="28" t="str">
        <f>IF(L17="","",CONCATENATE(IF(ResultadosObtidos!I14=ResultadosObtidos!$C14,"\textbf{",""),L17," \% ",IF(ResultadosObtidos!I14=ResultadosObtidos!$C14,"} \\ "," \\ ")))</f>
        <v>\textbf{0,0 \% } \\ </v>
      </c>
      <c r="U17" s="28"/>
      <c r="V17" s="28"/>
      <c r="W17" s="28"/>
      <c r="X17" s="28"/>
      <c r="Y17" s="28"/>
      <c r="Z17" s="28"/>
    </row>
    <row r="18" ht="15.75" customHeight="1">
      <c r="A18" s="28"/>
      <c r="B18" s="33" t="str">
        <f t="shared" si="2"/>
        <v>nome instancia 10 &amp; 36 &amp; 0,0 \%  &amp; \textbf{0,0 \% } &amp; 1,1 \%  &amp; 0,4 \%  &amp; 0,2 \%  &amp; 0,3 \%  \\ </v>
      </c>
      <c r="C18" s="28"/>
      <c r="D18" s="28"/>
      <c r="E18" s="28" t="str">
        <f>ResultadosObtidos!B15</f>
        <v>nome instancia 10</v>
      </c>
      <c r="F18" s="28" t="str">
        <f>IFERROR(IF(DesvioPercentual!C15&lt;&gt;"",SUBSTITUTE(TEXT(DesvioPercentual!C15,$F$2),".",","),""),"")</f>
        <v>36</v>
      </c>
      <c r="G18" s="28" t="str">
        <f>IFERROR(IF(DesvioPercentual!D15&lt;&gt;"",SUBSTITUTE(TEXT(DesvioPercentual!D15,$F$3),".",","),""),"")</f>
        <v>0,0</v>
      </c>
      <c r="H18" s="28" t="str">
        <f>IFERROR(IF(DesvioPercentual!E15&lt;&gt;"",SUBSTITUTE(TEXT(DesvioPercentual!E15,$F$3),".",","),""),"")</f>
        <v>0,0</v>
      </c>
      <c r="I18" s="28" t="str">
        <f>IFERROR(IF(DesvioPercentual!F15&lt;&gt;"",SUBSTITUTE(TEXT(DesvioPercentual!F15,$F$3),".",","),""),"")</f>
        <v>1,1</v>
      </c>
      <c r="J18" s="28" t="str">
        <f>IFERROR(IF(DesvioPercentual!G15&lt;&gt;"",SUBSTITUTE(TEXT(DesvioPercentual!G15,$F$3),".",","),""),"")</f>
        <v>0,4</v>
      </c>
      <c r="K18" s="28" t="str">
        <f>IFERROR(IF(DesvioPercentual!H15&lt;&gt;"",SUBSTITUTE(TEXT(DesvioPercentual!H15,$F$3),".",","),""),"")</f>
        <v>0,2</v>
      </c>
      <c r="L18" s="28" t="str">
        <f>IFERROR(IF(DesvioPercentual!I15&lt;&gt;"",SUBSTITUTE(TEXT(DesvioPercentual!I15,$F$3),".",","),""),"")</f>
        <v>0,3</v>
      </c>
      <c r="M18" s="28"/>
      <c r="N18" s="28" t="str">
        <f t="shared" si="3"/>
        <v>36 &amp; </v>
      </c>
      <c r="O18" s="28" t="str">
        <f>IF(G18="","",CONCATENATE(IF(ResultadosObtidos!D15=ResultadosObtidos!$C15,"\textbf{",""),G18," \% ",IF(ResultadosObtidos!D15=ResultadosObtidos!$C15,"} &amp; "," &amp; ")))</f>
        <v>0,0 \%  &amp; </v>
      </c>
      <c r="P18" s="28" t="str">
        <f>IF(H18="","",CONCATENATE(IF(ResultadosObtidos!E15=ResultadosObtidos!$C15,"\textbf{",""),H18," \% ",IF(ResultadosObtidos!E15=ResultadosObtidos!$C15,"} &amp; "," &amp; ")))</f>
        <v>\textbf{0,0 \% } &amp; </v>
      </c>
      <c r="Q18" s="28" t="str">
        <f>IF(I18="","",CONCATENATE(IF(ResultadosObtidos!F15=ResultadosObtidos!$C15,"\textbf{",""),I18," \% ",IF(ResultadosObtidos!F15=ResultadosObtidos!$C15,"} &amp; "," &amp; ")))</f>
        <v>1,1 \%  &amp; </v>
      </c>
      <c r="R18" s="28" t="str">
        <f>IF(J18="","",CONCATENATE(IF(ResultadosObtidos!G15=ResultadosObtidos!$C15,"\textbf{",""),J18," \% ",IF(ResultadosObtidos!G15=ResultadosObtidos!$C15,"} &amp; "," &amp; ")))</f>
        <v>0,4 \%  &amp; </v>
      </c>
      <c r="S18" s="28" t="str">
        <f>IF(K18="","",CONCATENATE(IF(ResultadosObtidos!H15=ResultadosObtidos!$C15,"\textbf{",""),K18," \% ",IF(ResultadosObtidos!H15=ResultadosObtidos!$C15,"} &amp; "," &amp; ")))</f>
        <v>0,2 \%  &amp; </v>
      </c>
      <c r="T18" s="28" t="str">
        <f>IF(L18="","",CONCATENATE(IF(ResultadosObtidos!I15=ResultadosObtidos!$C15,"\textbf{",""),L18," \% ",IF(ResultadosObtidos!I15=ResultadosObtidos!$C15,"} \\ "," \\ ")))</f>
        <v>0,3 \%  \\ </v>
      </c>
      <c r="U18" s="28"/>
      <c r="V18" s="28"/>
      <c r="W18" s="28"/>
      <c r="X18" s="28"/>
      <c r="Y18" s="28"/>
      <c r="Z18" s="28"/>
    </row>
    <row r="19" ht="15.75" customHeight="1">
      <c r="A19" s="28"/>
      <c r="B19" s="33" t="str">
        <f t="shared" si="2"/>
        <v>nome instancia 11 &amp; 38 &amp; \textbf{0,0 \% } &amp; 0,2 \%  &amp; 1,0 \%  &amp; 1,0 \%  &amp; \textbf{0,0 \% } &amp; 0,3 \%  \\ </v>
      </c>
      <c r="C19" s="28"/>
      <c r="D19" s="28"/>
      <c r="E19" s="28" t="str">
        <f>ResultadosObtidos!B16</f>
        <v>nome instancia 11</v>
      </c>
      <c r="F19" s="28" t="str">
        <f>IFERROR(IF(DesvioPercentual!C16&lt;&gt;"",SUBSTITUTE(TEXT(DesvioPercentual!C16,$F$2),".",","),""),"")</f>
        <v>38</v>
      </c>
      <c r="G19" s="28" t="str">
        <f>IFERROR(IF(DesvioPercentual!D16&lt;&gt;"",SUBSTITUTE(TEXT(DesvioPercentual!D16,$F$3),".",","),""),"")</f>
        <v>0,0</v>
      </c>
      <c r="H19" s="28" t="str">
        <f>IFERROR(IF(DesvioPercentual!E16&lt;&gt;"",SUBSTITUTE(TEXT(DesvioPercentual!E16,$F$3),".",","),""),"")</f>
        <v>0,2</v>
      </c>
      <c r="I19" s="28" t="str">
        <f>IFERROR(IF(DesvioPercentual!F16&lt;&gt;"",SUBSTITUTE(TEXT(DesvioPercentual!F16,$F$3),".",","),""),"")</f>
        <v>1,0</v>
      </c>
      <c r="J19" s="28" t="str">
        <f>IFERROR(IF(DesvioPercentual!G16&lt;&gt;"",SUBSTITUTE(TEXT(DesvioPercentual!G16,$F$3),".",","),""),"")</f>
        <v>1,0</v>
      </c>
      <c r="K19" s="28" t="str">
        <f>IFERROR(IF(DesvioPercentual!H16&lt;&gt;"",SUBSTITUTE(TEXT(DesvioPercentual!H16,$F$3),".",","),""),"")</f>
        <v>0,0</v>
      </c>
      <c r="L19" s="28" t="str">
        <f>IFERROR(IF(DesvioPercentual!I16&lt;&gt;"",SUBSTITUTE(TEXT(DesvioPercentual!I16,$F$3),".",","),""),"")</f>
        <v>0,3</v>
      </c>
      <c r="M19" s="28"/>
      <c r="N19" s="28" t="str">
        <f t="shared" si="3"/>
        <v>38 &amp; </v>
      </c>
      <c r="O19" s="28" t="str">
        <f>IF(G19="","",CONCATENATE(IF(ResultadosObtidos!D16=ResultadosObtidos!$C16,"\textbf{",""),G19," \% ",IF(ResultadosObtidos!D16=ResultadosObtidos!$C16,"} &amp; "," &amp; ")))</f>
        <v>\textbf{0,0 \% } &amp; </v>
      </c>
      <c r="P19" s="28" t="str">
        <f>IF(H19="","",CONCATENATE(IF(ResultadosObtidos!E16=ResultadosObtidos!$C16,"\textbf{",""),H19," \% ",IF(ResultadosObtidos!E16=ResultadosObtidos!$C16,"} &amp; "," &amp; ")))</f>
        <v>0,2 \%  &amp; </v>
      </c>
      <c r="Q19" s="28" t="str">
        <f>IF(I19="","",CONCATENATE(IF(ResultadosObtidos!F16=ResultadosObtidos!$C16,"\textbf{",""),I19," \% ",IF(ResultadosObtidos!F16=ResultadosObtidos!$C16,"} &amp; "," &amp; ")))</f>
        <v>1,0 \%  &amp; </v>
      </c>
      <c r="R19" s="28" t="str">
        <f>IF(J19="","",CONCATENATE(IF(ResultadosObtidos!G16=ResultadosObtidos!$C16,"\textbf{",""),J19," \% ",IF(ResultadosObtidos!G16=ResultadosObtidos!$C16,"} &amp; "," &amp; ")))</f>
        <v>1,0 \%  &amp; </v>
      </c>
      <c r="S19" s="28" t="str">
        <f>IF(K19="","",CONCATENATE(IF(ResultadosObtidos!H16=ResultadosObtidos!$C16,"\textbf{",""),K19," \% ",IF(ResultadosObtidos!H16=ResultadosObtidos!$C16,"} &amp; "," &amp; ")))</f>
        <v>\textbf{0,0 \% } &amp; </v>
      </c>
      <c r="T19" s="28" t="str">
        <f>IF(L19="","",CONCATENATE(IF(ResultadosObtidos!I16=ResultadosObtidos!$C16,"\textbf{",""),L19," \% ",IF(ResultadosObtidos!I16=ResultadosObtidos!$C16,"} \\ "," \\ ")))</f>
        <v>0,3 \%  \\ </v>
      </c>
      <c r="U19" s="28"/>
      <c r="V19" s="28"/>
      <c r="W19" s="28"/>
      <c r="X19" s="28"/>
      <c r="Y19" s="28"/>
      <c r="Z19" s="28"/>
    </row>
    <row r="20" ht="15.75" customHeight="1">
      <c r="A20" s="28"/>
      <c r="B20" s="33" t="str">
        <f t="shared" si="2"/>
        <v>nome instancia 12 &amp; 32 &amp; 0,0 \%  &amp; 0,9 \%  &amp; 0,4 \%  &amp; \textbf{0,0 \% } &amp; 0,3 \%  &amp; 0,7 \%  \\ </v>
      </c>
      <c r="C20" s="28"/>
      <c r="D20" s="28"/>
      <c r="E20" s="28" t="str">
        <f>ResultadosObtidos!B17</f>
        <v>nome instancia 12</v>
      </c>
      <c r="F20" s="28" t="str">
        <f>IFERROR(IF(DesvioPercentual!C17&lt;&gt;"",SUBSTITUTE(TEXT(DesvioPercentual!C17,$F$2),".",","),""),"")</f>
        <v>32</v>
      </c>
      <c r="G20" s="28" t="str">
        <f>IFERROR(IF(DesvioPercentual!D17&lt;&gt;"",SUBSTITUTE(TEXT(DesvioPercentual!D17,$F$3),".",","),""),"")</f>
        <v>0,0</v>
      </c>
      <c r="H20" s="28" t="str">
        <f>IFERROR(IF(DesvioPercentual!E17&lt;&gt;"",SUBSTITUTE(TEXT(DesvioPercentual!E17,$F$3),".",","),""),"")</f>
        <v>0,9</v>
      </c>
      <c r="I20" s="28" t="str">
        <f>IFERROR(IF(DesvioPercentual!F17&lt;&gt;"",SUBSTITUTE(TEXT(DesvioPercentual!F17,$F$3),".",","),""),"")</f>
        <v>0,4</v>
      </c>
      <c r="J20" s="28" t="str">
        <f>IFERROR(IF(DesvioPercentual!G17&lt;&gt;"",SUBSTITUTE(TEXT(DesvioPercentual!G17,$F$3),".",","),""),"")</f>
        <v>0,0</v>
      </c>
      <c r="K20" s="28" t="str">
        <f>IFERROR(IF(DesvioPercentual!H17&lt;&gt;"",SUBSTITUTE(TEXT(DesvioPercentual!H17,$F$3),".",","),""),"")</f>
        <v>0,3</v>
      </c>
      <c r="L20" s="28" t="str">
        <f>IFERROR(IF(DesvioPercentual!I17&lt;&gt;"",SUBSTITUTE(TEXT(DesvioPercentual!I17,$F$3),".",","),""),"")</f>
        <v>0,7</v>
      </c>
      <c r="M20" s="28"/>
      <c r="N20" s="28" t="str">
        <f t="shared" si="3"/>
        <v>32 &amp; </v>
      </c>
      <c r="O20" s="28" t="str">
        <f>IF(G20="","",CONCATENATE(IF(ResultadosObtidos!D17=ResultadosObtidos!$C17,"\textbf{",""),G20," \% ",IF(ResultadosObtidos!D17=ResultadosObtidos!$C17,"} &amp; "," &amp; ")))</f>
        <v>0,0 \%  &amp; </v>
      </c>
      <c r="P20" s="28" t="str">
        <f>IF(H20="","",CONCATENATE(IF(ResultadosObtidos!E17=ResultadosObtidos!$C17,"\textbf{",""),H20," \% ",IF(ResultadosObtidos!E17=ResultadosObtidos!$C17,"} &amp; "," &amp; ")))</f>
        <v>0,9 \%  &amp; </v>
      </c>
      <c r="Q20" s="28" t="str">
        <f>IF(I20="","",CONCATENATE(IF(ResultadosObtidos!F17=ResultadosObtidos!$C17,"\textbf{",""),I20," \% ",IF(ResultadosObtidos!F17=ResultadosObtidos!$C17,"} &amp; "," &amp; ")))</f>
        <v>0,4 \%  &amp; </v>
      </c>
      <c r="R20" s="28" t="str">
        <f>IF(J20="","",CONCATENATE(IF(ResultadosObtidos!G17=ResultadosObtidos!$C17,"\textbf{",""),J20," \% ",IF(ResultadosObtidos!G17=ResultadosObtidos!$C17,"} &amp; "," &amp; ")))</f>
        <v>\textbf{0,0 \% } &amp; </v>
      </c>
      <c r="S20" s="28" t="str">
        <f>IF(K20="","",CONCATENATE(IF(ResultadosObtidos!H17=ResultadosObtidos!$C17,"\textbf{",""),K20," \% ",IF(ResultadosObtidos!H17=ResultadosObtidos!$C17,"} &amp; "," &amp; ")))</f>
        <v>0,3 \%  &amp; </v>
      </c>
      <c r="T20" s="28" t="str">
        <f>IF(L20="","",CONCATENATE(IF(ResultadosObtidos!I17=ResultadosObtidos!$C17,"\textbf{",""),L20," \% ",IF(ResultadosObtidos!I17=ResultadosObtidos!$C17,"} \\ "," \\ ")))</f>
        <v>0,7 \%  \\ </v>
      </c>
      <c r="U20" s="28"/>
      <c r="V20" s="28"/>
      <c r="W20" s="28"/>
      <c r="X20" s="28"/>
      <c r="Y20" s="28"/>
      <c r="Z20" s="28"/>
    </row>
    <row r="21" ht="15.75" customHeight="1">
      <c r="A21" s="28"/>
      <c r="B21" s="33" t="str">
        <f t="shared" si="2"/>
        <v>nome instancia 13 &amp; 38 &amp; 0,0 \%  &amp; 1,0 \%  &amp; \textbf{0,0 \% } &amp; 0,7 \%  &amp; 0,5 \%  &amp; 0,1 \%  \\ </v>
      </c>
      <c r="C21" s="28"/>
      <c r="D21" s="28"/>
      <c r="E21" s="28" t="str">
        <f>ResultadosObtidos!B18</f>
        <v>nome instancia 13</v>
      </c>
      <c r="F21" s="28" t="str">
        <f>IFERROR(IF(DesvioPercentual!C18&lt;&gt;"",SUBSTITUTE(TEXT(DesvioPercentual!C18,$F$2),".",","),""),"")</f>
        <v>38</v>
      </c>
      <c r="G21" s="28" t="str">
        <f>IFERROR(IF(DesvioPercentual!D18&lt;&gt;"",SUBSTITUTE(TEXT(DesvioPercentual!D18,$F$3),".",","),""),"")</f>
        <v>0,0</v>
      </c>
      <c r="H21" s="28" t="str">
        <f>IFERROR(IF(DesvioPercentual!E18&lt;&gt;"",SUBSTITUTE(TEXT(DesvioPercentual!E18,$F$3),".",","),""),"")</f>
        <v>1,0</v>
      </c>
      <c r="I21" s="28" t="str">
        <f>IFERROR(IF(DesvioPercentual!F18&lt;&gt;"",SUBSTITUTE(TEXT(DesvioPercentual!F18,$F$3),".",","),""),"")</f>
        <v>0,0</v>
      </c>
      <c r="J21" s="28" t="str">
        <f>IFERROR(IF(DesvioPercentual!G18&lt;&gt;"",SUBSTITUTE(TEXT(DesvioPercentual!G18,$F$3),".",","),""),"")</f>
        <v>0,7</v>
      </c>
      <c r="K21" s="28" t="str">
        <f>IFERROR(IF(DesvioPercentual!H18&lt;&gt;"",SUBSTITUTE(TEXT(DesvioPercentual!H18,$F$3),".",","),""),"")</f>
        <v>0,5</v>
      </c>
      <c r="L21" s="28" t="str">
        <f>IFERROR(IF(DesvioPercentual!I18&lt;&gt;"",SUBSTITUTE(TEXT(DesvioPercentual!I18,$F$3),".",","),""),"")</f>
        <v>0,1</v>
      </c>
      <c r="M21" s="28"/>
      <c r="N21" s="28" t="str">
        <f t="shared" si="3"/>
        <v>38 &amp; </v>
      </c>
      <c r="O21" s="28" t="str">
        <f>IF(G21="","",CONCATENATE(IF(ResultadosObtidos!D18=ResultadosObtidos!$C18,"\textbf{",""),G21," \% ",IF(ResultadosObtidos!D18=ResultadosObtidos!$C18,"} &amp; "," &amp; ")))</f>
        <v>0,0 \%  &amp; </v>
      </c>
      <c r="P21" s="28" t="str">
        <f>IF(H21="","",CONCATENATE(IF(ResultadosObtidos!E18=ResultadosObtidos!$C18,"\textbf{",""),H21," \% ",IF(ResultadosObtidos!E18=ResultadosObtidos!$C18,"} &amp; "," &amp; ")))</f>
        <v>1,0 \%  &amp; </v>
      </c>
      <c r="Q21" s="28" t="str">
        <f>IF(I21="","",CONCATENATE(IF(ResultadosObtidos!F18=ResultadosObtidos!$C18,"\textbf{",""),I21," \% ",IF(ResultadosObtidos!F18=ResultadosObtidos!$C18,"} &amp; "," &amp; ")))</f>
        <v>\textbf{0,0 \% } &amp; </v>
      </c>
      <c r="R21" s="28" t="str">
        <f>IF(J21="","",CONCATENATE(IF(ResultadosObtidos!G18=ResultadosObtidos!$C18,"\textbf{",""),J21," \% ",IF(ResultadosObtidos!G18=ResultadosObtidos!$C18,"} &amp; "," &amp; ")))</f>
        <v>0,7 \%  &amp; </v>
      </c>
      <c r="S21" s="28" t="str">
        <f>IF(K21="","",CONCATENATE(IF(ResultadosObtidos!H18=ResultadosObtidos!$C18,"\textbf{",""),K21," \% ",IF(ResultadosObtidos!H18=ResultadosObtidos!$C18,"} &amp; "," &amp; ")))</f>
        <v>0,5 \%  &amp; </v>
      </c>
      <c r="T21" s="28" t="str">
        <f>IF(L21="","",CONCATENATE(IF(ResultadosObtidos!I18=ResultadosObtidos!$C18,"\textbf{",""),L21," \% ",IF(ResultadosObtidos!I18=ResultadosObtidos!$C18,"} \\ "," \\ ")))</f>
        <v>0,1 \%  \\ </v>
      </c>
      <c r="U21" s="28"/>
      <c r="V21" s="28"/>
      <c r="W21" s="28"/>
      <c r="X21" s="28"/>
      <c r="Y21" s="28"/>
      <c r="Z21" s="28"/>
    </row>
    <row r="22" ht="15.75" customHeight="1">
      <c r="A22" s="28"/>
      <c r="B22" s="33" t="str">
        <f t="shared" si="2"/>
        <v>nome instancia 14 &amp; 32 &amp; \textbf{0,0 \% } &amp; 0,7 \%  &amp; 0,7 \%  &amp; \textbf{0,0 \% } &amp; 1,3 \%  &amp; 0,2 \%  \\ </v>
      </c>
      <c r="C22" s="28"/>
      <c r="D22" s="28"/>
      <c r="E22" s="28" t="str">
        <f>ResultadosObtidos!B19</f>
        <v>nome instancia 14</v>
      </c>
      <c r="F22" s="28" t="str">
        <f>IFERROR(IF(DesvioPercentual!C19&lt;&gt;"",SUBSTITUTE(TEXT(DesvioPercentual!C19,$F$2),".",","),""),"")</f>
        <v>32</v>
      </c>
      <c r="G22" s="28" t="str">
        <f>IFERROR(IF(DesvioPercentual!D19&lt;&gt;"",SUBSTITUTE(TEXT(DesvioPercentual!D19,$F$3),".",","),""),"")</f>
        <v>0,0</v>
      </c>
      <c r="H22" s="28" t="str">
        <f>IFERROR(IF(DesvioPercentual!E19&lt;&gt;"",SUBSTITUTE(TEXT(DesvioPercentual!E19,$F$3),".",","),""),"")</f>
        <v>0,7</v>
      </c>
      <c r="I22" s="28" t="str">
        <f>IFERROR(IF(DesvioPercentual!F19&lt;&gt;"",SUBSTITUTE(TEXT(DesvioPercentual!F19,$F$3),".",","),""),"")</f>
        <v>0,7</v>
      </c>
      <c r="J22" s="28" t="str">
        <f>IFERROR(IF(DesvioPercentual!G19&lt;&gt;"",SUBSTITUTE(TEXT(DesvioPercentual!G19,$F$3),".",","),""),"")</f>
        <v>0,0</v>
      </c>
      <c r="K22" s="28" t="str">
        <f>IFERROR(IF(DesvioPercentual!H19&lt;&gt;"",SUBSTITUTE(TEXT(DesvioPercentual!H19,$F$3),".",","),""),"")</f>
        <v>1,3</v>
      </c>
      <c r="L22" s="28" t="str">
        <f>IFERROR(IF(DesvioPercentual!I19&lt;&gt;"",SUBSTITUTE(TEXT(DesvioPercentual!I19,$F$3),".",","),""),"")</f>
        <v>0,2</v>
      </c>
      <c r="M22" s="28"/>
      <c r="N22" s="28" t="str">
        <f t="shared" si="3"/>
        <v>32 &amp; </v>
      </c>
      <c r="O22" s="28" t="str">
        <f>IF(G22="","",CONCATENATE(IF(ResultadosObtidos!D19=ResultadosObtidos!$C19,"\textbf{",""),G22," \% ",IF(ResultadosObtidos!D19=ResultadosObtidos!$C19,"} &amp; "," &amp; ")))</f>
        <v>\textbf{0,0 \% } &amp; </v>
      </c>
      <c r="P22" s="28" t="str">
        <f>IF(H22="","",CONCATENATE(IF(ResultadosObtidos!E19=ResultadosObtidos!$C19,"\textbf{",""),H22," \% ",IF(ResultadosObtidos!E19=ResultadosObtidos!$C19,"} &amp; "," &amp; ")))</f>
        <v>0,7 \%  &amp; </v>
      </c>
      <c r="Q22" s="28" t="str">
        <f>IF(I22="","",CONCATENATE(IF(ResultadosObtidos!F19=ResultadosObtidos!$C19,"\textbf{",""),I22," \% ",IF(ResultadosObtidos!F19=ResultadosObtidos!$C19,"} &amp; "," &amp; ")))</f>
        <v>0,7 \%  &amp; </v>
      </c>
      <c r="R22" s="28" t="str">
        <f>IF(J22="","",CONCATENATE(IF(ResultadosObtidos!G19=ResultadosObtidos!$C19,"\textbf{",""),J22," \% ",IF(ResultadosObtidos!G19=ResultadosObtidos!$C19,"} &amp; "," &amp; ")))</f>
        <v>\textbf{0,0 \% } &amp; </v>
      </c>
      <c r="S22" s="28" t="str">
        <f>IF(K22="","",CONCATENATE(IF(ResultadosObtidos!H19=ResultadosObtidos!$C19,"\textbf{",""),K22," \% ",IF(ResultadosObtidos!H19=ResultadosObtidos!$C19,"} &amp; "," &amp; ")))</f>
        <v>1,3 \%  &amp; </v>
      </c>
      <c r="T22" s="28" t="str">
        <f>IF(L22="","",CONCATENATE(IF(ResultadosObtidos!I19=ResultadosObtidos!$C19,"\textbf{",""),L22," \% ",IF(ResultadosObtidos!I19=ResultadosObtidos!$C19,"} \\ "," \\ ")))</f>
        <v>0,2 \%  \\ </v>
      </c>
      <c r="U22" s="28"/>
      <c r="V22" s="28"/>
      <c r="W22" s="28"/>
      <c r="X22" s="28"/>
      <c r="Y22" s="28"/>
      <c r="Z22" s="28"/>
    </row>
    <row r="23" ht="15.75" customHeight="1">
      <c r="A23" s="28"/>
      <c r="B23" s="33" t="str">
        <f t="shared" si="2"/>
        <v>nome instancia 15 &amp; 36 &amp; \textbf{0,0 \% } &amp; \textbf{0,0 \% } &amp; 0,2 \%  &amp; 0,6 \%  &amp; 0,8 \%  &amp; \textbf{0,0 \% } \\ </v>
      </c>
      <c r="C23" s="28"/>
      <c r="D23" s="28"/>
      <c r="E23" s="28" t="str">
        <f>ResultadosObtidos!B20</f>
        <v>nome instancia 15</v>
      </c>
      <c r="F23" s="28" t="str">
        <f>IFERROR(IF(DesvioPercentual!C20&lt;&gt;"",SUBSTITUTE(TEXT(DesvioPercentual!C20,$F$2),".",","),""),"")</f>
        <v>36</v>
      </c>
      <c r="G23" s="28" t="str">
        <f>IFERROR(IF(DesvioPercentual!D20&lt;&gt;"",SUBSTITUTE(TEXT(DesvioPercentual!D20,$F$3),".",","),""),"")</f>
        <v>0,0</v>
      </c>
      <c r="H23" s="28" t="str">
        <f>IFERROR(IF(DesvioPercentual!E20&lt;&gt;"",SUBSTITUTE(TEXT(DesvioPercentual!E20,$F$3),".",","),""),"")</f>
        <v>0,0</v>
      </c>
      <c r="I23" s="28" t="str">
        <f>IFERROR(IF(DesvioPercentual!F20&lt;&gt;"",SUBSTITUTE(TEXT(DesvioPercentual!F20,$F$3),".",","),""),"")</f>
        <v>0,2</v>
      </c>
      <c r="J23" s="28" t="str">
        <f>IFERROR(IF(DesvioPercentual!G20&lt;&gt;"",SUBSTITUTE(TEXT(DesvioPercentual!G20,$F$3),".",","),""),"")</f>
        <v>0,6</v>
      </c>
      <c r="K23" s="28" t="str">
        <f>IFERROR(IF(DesvioPercentual!H20&lt;&gt;"",SUBSTITUTE(TEXT(DesvioPercentual!H20,$F$3),".",","),""),"")</f>
        <v>0,8</v>
      </c>
      <c r="L23" s="28" t="str">
        <f>IFERROR(IF(DesvioPercentual!I20&lt;&gt;"",SUBSTITUTE(TEXT(DesvioPercentual!I20,$F$3),".",","),""),"")</f>
        <v>0,0</v>
      </c>
      <c r="M23" s="28"/>
      <c r="N23" s="28" t="str">
        <f t="shared" si="3"/>
        <v>36 &amp; </v>
      </c>
      <c r="O23" s="28" t="str">
        <f>IF(G23="","",CONCATENATE(IF(ResultadosObtidos!D20=ResultadosObtidos!$C20,"\textbf{",""),G23," \% ",IF(ResultadosObtidos!D20=ResultadosObtidos!$C20,"} &amp; "," &amp; ")))</f>
        <v>\textbf{0,0 \% } &amp; </v>
      </c>
      <c r="P23" s="28" t="str">
        <f>IF(H23="","",CONCATENATE(IF(ResultadosObtidos!E20=ResultadosObtidos!$C20,"\textbf{",""),H23," \% ",IF(ResultadosObtidos!E20=ResultadosObtidos!$C20,"} &amp; "," &amp; ")))</f>
        <v>\textbf{0,0 \% } &amp; </v>
      </c>
      <c r="Q23" s="28" t="str">
        <f>IF(I23="","",CONCATENATE(IF(ResultadosObtidos!F20=ResultadosObtidos!$C20,"\textbf{",""),I23," \% ",IF(ResultadosObtidos!F20=ResultadosObtidos!$C20,"} &amp; "," &amp; ")))</f>
        <v>0,2 \%  &amp; </v>
      </c>
      <c r="R23" s="28" t="str">
        <f>IF(J23="","",CONCATENATE(IF(ResultadosObtidos!G20=ResultadosObtidos!$C20,"\textbf{",""),J23," \% ",IF(ResultadosObtidos!G20=ResultadosObtidos!$C20,"} &amp; "," &amp; ")))</f>
        <v>0,6 \%  &amp; </v>
      </c>
      <c r="S23" s="28" t="str">
        <f>IF(K23="","",CONCATENATE(IF(ResultadosObtidos!H20=ResultadosObtidos!$C20,"\textbf{",""),K23," \% ",IF(ResultadosObtidos!H20=ResultadosObtidos!$C20,"} &amp; "," &amp; ")))</f>
        <v>0,8 \%  &amp; </v>
      </c>
      <c r="T23" s="28" t="str">
        <f>IF(L23="","",CONCATENATE(IF(ResultadosObtidos!I20=ResultadosObtidos!$C20,"\textbf{",""),L23," \% ",IF(ResultadosObtidos!I20=ResultadosObtidos!$C20,"} \\ "," \\ ")))</f>
        <v>\textbf{0,0 \% } \\ </v>
      </c>
      <c r="U23" s="28"/>
      <c r="V23" s="28"/>
      <c r="W23" s="28"/>
      <c r="X23" s="28"/>
      <c r="Y23" s="28"/>
      <c r="Z23" s="28"/>
    </row>
    <row r="24" ht="15.75" customHeight="1">
      <c r="A24" s="28"/>
      <c r="B24" s="33" t="str">
        <f t="shared" si="2"/>
        <v>nome instancia 16 &amp; 31 &amp; 0,0 \%  &amp; 0,7 \%  &amp; 1,4 \%  &amp; \textbf{0,0 \% } &amp; 0,3 \%  &amp; 0,6 \%  \\ </v>
      </c>
      <c r="C24" s="28"/>
      <c r="D24" s="28"/>
      <c r="E24" s="28" t="str">
        <f>ResultadosObtidos!B21</f>
        <v>nome instancia 16</v>
      </c>
      <c r="F24" s="28" t="str">
        <f>IFERROR(IF(DesvioPercentual!C21&lt;&gt;"",SUBSTITUTE(TEXT(DesvioPercentual!C21,$F$2),".",","),""),"")</f>
        <v>31</v>
      </c>
      <c r="G24" s="28" t="str">
        <f>IFERROR(IF(DesvioPercentual!D21&lt;&gt;"",SUBSTITUTE(TEXT(DesvioPercentual!D21,$F$3),".",","),""),"")</f>
        <v>0,0</v>
      </c>
      <c r="H24" s="28" t="str">
        <f>IFERROR(IF(DesvioPercentual!E21&lt;&gt;"",SUBSTITUTE(TEXT(DesvioPercentual!E21,$F$3),".",","),""),"")</f>
        <v>0,7</v>
      </c>
      <c r="I24" s="28" t="str">
        <f>IFERROR(IF(DesvioPercentual!F21&lt;&gt;"",SUBSTITUTE(TEXT(DesvioPercentual!F21,$F$3),".",","),""),"")</f>
        <v>1,4</v>
      </c>
      <c r="J24" s="28" t="str">
        <f>IFERROR(IF(DesvioPercentual!G21&lt;&gt;"",SUBSTITUTE(TEXT(DesvioPercentual!G21,$F$3),".",","),""),"")</f>
        <v>0,0</v>
      </c>
      <c r="K24" s="28" t="str">
        <f>IFERROR(IF(DesvioPercentual!H21&lt;&gt;"",SUBSTITUTE(TEXT(DesvioPercentual!H21,$F$3),".",","),""),"")</f>
        <v>0,3</v>
      </c>
      <c r="L24" s="28" t="str">
        <f>IFERROR(IF(DesvioPercentual!I21&lt;&gt;"",SUBSTITUTE(TEXT(DesvioPercentual!I21,$F$3),".",","),""),"")</f>
        <v>0,6</v>
      </c>
      <c r="M24" s="28"/>
      <c r="N24" s="28" t="str">
        <f t="shared" si="3"/>
        <v>31 &amp; </v>
      </c>
      <c r="O24" s="28" t="str">
        <f>IF(G24="","",CONCATENATE(IF(ResultadosObtidos!D21=ResultadosObtidos!$C21,"\textbf{",""),G24," \% ",IF(ResultadosObtidos!D21=ResultadosObtidos!$C21,"} &amp; "," &amp; ")))</f>
        <v>0,0 \%  &amp; </v>
      </c>
      <c r="P24" s="28" t="str">
        <f>IF(H24="","",CONCATENATE(IF(ResultadosObtidos!E21=ResultadosObtidos!$C21,"\textbf{",""),H24," \% ",IF(ResultadosObtidos!E21=ResultadosObtidos!$C21,"} &amp; "," &amp; ")))</f>
        <v>0,7 \%  &amp; </v>
      </c>
      <c r="Q24" s="28" t="str">
        <f>IF(I24="","",CONCATENATE(IF(ResultadosObtidos!F21=ResultadosObtidos!$C21,"\textbf{",""),I24," \% ",IF(ResultadosObtidos!F21=ResultadosObtidos!$C21,"} &amp; "," &amp; ")))</f>
        <v>1,4 \%  &amp; </v>
      </c>
      <c r="R24" s="28" t="str">
        <f>IF(J24="","",CONCATENATE(IF(ResultadosObtidos!G21=ResultadosObtidos!$C21,"\textbf{",""),J24," \% ",IF(ResultadosObtidos!G21=ResultadosObtidos!$C21,"} &amp; "," &amp; ")))</f>
        <v>\textbf{0,0 \% } &amp; </v>
      </c>
      <c r="S24" s="28" t="str">
        <f>IF(K24="","",CONCATENATE(IF(ResultadosObtidos!H21=ResultadosObtidos!$C21,"\textbf{",""),K24," \% ",IF(ResultadosObtidos!H21=ResultadosObtidos!$C21,"} &amp; "," &amp; ")))</f>
        <v>0,3 \%  &amp; </v>
      </c>
      <c r="T24" s="28" t="str">
        <f>IF(L24="","",CONCATENATE(IF(ResultadosObtidos!I21=ResultadosObtidos!$C21,"\textbf{",""),L24," \% ",IF(ResultadosObtidos!I21=ResultadosObtidos!$C21,"} \\ "," \\ ")))</f>
        <v>0,6 \%  \\ </v>
      </c>
      <c r="U24" s="28"/>
      <c r="V24" s="28"/>
      <c r="W24" s="28"/>
      <c r="X24" s="28"/>
      <c r="Y24" s="28"/>
      <c r="Z24" s="28"/>
    </row>
    <row r="25" ht="15.75" customHeight="1">
      <c r="A25" s="28"/>
      <c r="B25" s="33" t="str">
        <f t="shared" si="2"/>
        <v>nome instancia 17 &amp; 61 &amp; 0,0 \%  &amp; 0,1 \%  &amp; 0,0 \%  &amp; \textbf{0,0 \% } &amp; 0,1 \%  &amp; 0,1 \%  \\ </v>
      </c>
      <c r="C25" s="28"/>
      <c r="D25" s="28"/>
      <c r="E25" s="28" t="str">
        <f>ResultadosObtidos!B22</f>
        <v>nome instancia 17</v>
      </c>
      <c r="F25" s="28" t="str">
        <f>IFERROR(IF(DesvioPercentual!C22&lt;&gt;"",SUBSTITUTE(TEXT(DesvioPercentual!C22,$F$2),".",","),""),"")</f>
        <v>61</v>
      </c>
      <c r="G25" s="28" t="str">
        <f>IFERROR(IF(DesvioPercentual!D22&lt;&gt;"",SUBSTITUTE(TEXT(DesvioPercentual!D22,$F$3),".",","),""),"")</f>
        <v>0,0</v>
      </c>
      <c r="H25" s="28" t="str">
        <f>IFERROR(IF(DesvioPercentual!E22&lt;&gt;"",SUBSTITUTE(TEXT(DesvioPercentual!E22,$F$3),".",","),""),"")</f>
        <v>0,1</v>
      </c>
      <c r="I25" s="28" t="str">
        <f>IFERROR(IF(DesvioPercentual!F22&lt;&gt;"",SUBSTITUTE(TEXT(DesvioPercentual!F22,$F$3),".",","),""),"")</f>
        <v>0,0</v>
      </c>
      <c r="J25" s="28" t="str">
        <f>IFERROR(IF(DesvioPercentual!G22&lt;&gt;"",SUBSTITUTE(TEXT(DesvioPercentual!G22,$F$3),".",","),""),"")</f>
        <v>0,0</v>
      </c>
      <c r="K25" s="28" t="str">
        <f>IFERROR(IF(DesvioPercentual!H22&lt;&gt;"",SUBSTITUTE(TEXT(DesvioPercentual!H22,$F$3),".",","),""),"")</f>
        <v>0,1</v>
      </c>
      <c r="L25" s="28" t="str">
        <f>IFERROR(IF(DesvioPercentual!I22&lt;&gt;"",SUBSTITUTE(TEXT(DesvioPercentual!I22,$F$3),".",","),""),"")</f>
        <v>0,1</v>
      </c>
      <c r="M25" s="28"/>
      <c r="N25" s="28" t="str">
        <f t="shared" si="3"/>
        <v>61 &amp; </v>
      </c>
      <c r="O25" s="28" t="str">
        <f>IF(G25="","",CONCATENATE(IF(ResultadosObtidos!D22=ResultadosObtidos!$C22,"\textbf{",""),G25," \% ",IF(ResultadosObtidos!D22=ResultadosObtidos!$C22,"} &amp; "," &amp; ")))</f>
        <v>0,0 \%  &amp; </v>
      </c>
      <c r="P25" s="28" t="str">
        <f>IF(H25="","",CONCATENATE(IF(ResultadosObtidos!E22=ResultadosObtidos!$C22,"\textbf{",""),H25," \% ",IF(ResultadosObtidos!E22=ResultadosObtidos!$C22,"} &amp; "," &amp; ")))</f>
        <v>0,1 \%  &amp; </v>
      </c>
      <c r="Q25" s="28" t="str">
        <f>IF(I25="","",CONCATENATE(IF(ResultadosObtidos!F22=ResultadosObtidos!$C22,"\textbf{",""),I25," \% ",IF(ResultadosObtidos!F22=ResultadosObtidos!$C22,"} &amp; "," &amp; ")))</f>
        <v>0,0 \%  &amp; </v>
      </c>
      <c r="R25" s="28" t="str">
        <f>IF(J25="","",CONCATENATE(IF(ResultadosObtidos!G22=ResultadosObtidos!$C22,"\textbf{",""),J25," \% ",IF(ResultadosObtidos!G22=ResultadosObtidos!$C22,"} &amp; "," &amp; ")))</f>
        <v>\textbf{0,0 \% } &amp; </v>
      </c>
      <c r="S25" s="28" t="str">
        <f>IF(K25="","",CONCATENATE(IF(ResultadosObtidos!H22=ResultadosObtidos!$C22,"\textbf{",""),K25," \% ",IF(ResultadosObtidos!H22=ResultadosObtidos!$C22,"} &amp; "," &amp; ")))</f>
        <v>0,1 \%  &amp; </v>
      </c>
      <c r="T25" s="28" t="str">
        <f>IF(L25="","",CONCATENATE(IF(ResultadosObtidos!I22=ResultadosObtidos!$C22,"\textbf{",""),L25," \% ",IF(ResultadosObtidos!I22=ResultadosObtidos!$C22,"} \\ "," \\ ")))</f>
        <v>0,1 \%  \\ </v>
      </c>
      <c r="U25" s="28"/>
      <c r="V25" s="28"/>
      <c r="W25" s="28"/>
      <c r="X25" s="28"/>
      <c r="Y25" s="28"/>
      <c r="Z25" s="28"/>
    </row>
    <row r="26" ht="15.75" customHeight="1">
      <c r="A26" s="28"/>
      <c r="B26" s="33" t="str">
        <f t="shared" si="2"/>
        <v>nome instancia 18 &amp; 30 &amp; 0,1 \%  &amp; \textbf{0,0 \% } &amp; 0,0 \%  &amp; 0,2 \%  &amp; 0,1 \%  &amp; 0,1 \%  \\ </v>
      </c>
      <c r="C26" s="28"/>
      <c r="D26" s="28"/>
      <c r="E26" s="28" t="str">
        <f>ResultadosObtidos!B23</f>
        <v>nome instancia 18</v>
      </c>
      <c r="F26" s="28" t="str">
        <f>IFERROR(IF(DesvioPercentual!C23&lt;&gt;"",SUBSTITUTE(TEXT(DesvioPercentual!C23,$F$2),".",","),""),"")</f>
        <v>30</v>
      </c>
      <c r="G26" s="28" t="str">
        <f>IFERROR(IF(DesvioPercentual!D23&lt;&gt;"",SUBSTITUTE(TEXT(DesvioPercentual!D23,$F$3),".",","),""),"")</f>
        <v>0,1</v>
      </c>
      <c r="H26" s="28" t="str">
        <f>IFERROR(IF(DesvioPercentual!E23&lt;&gt;"",SUBSTITUTE(TEXT(DesvioPercentual!E23,$F$3),".",","),""),"")</f>
        <v>0,0</v>
      </c>
      <c r="I26" s="28" t="str">
        <f>IFERROR(IF(DesvioPercentual!F23&lt;&gt;"",SUBSTITUTE(TEXT(DesvioPercentual!F23,$F$3),".",","),""),"")</f>
        <v>0,0</v>
      </c>
      <c r="J26" s="28" t="str">
        <f>IFERROR(IF(DesvioPercentual!G23&lt;&gt;"",SUBSTITUTE(TEXT(DesvioPercentual!G23,$F$3),".",","),""),"")</f>
        <v>0,2</v>
      </c>
      <c r="K26" s="28" t="str">
        <f>IFERROR(IF(DesvioPercentual!H23&lt;&gt;"",SUBSTITUTE(TEXT(DesvioPercentual!H23,$F$3),".",","),""),"")</f>
        <v>0,1</v>
      </c>
      <c r="L26" s="28" t="str">
        <f>IFERROR(IF(DesvioPercentual!I23&lt;&gt;"",SUBSTITUTE(TEXT(DesvioPercentual!I23,$F$3),".",","),""),"")</f>
        <v>0,1</v>
      </c>
      <c r="M26" s="28"/>
      <c r="N26" s="28" t="str">
        <f t="shared" si="3"/>
        <v>30 &amp; </v>
      </c>
      <c r="O26" s="28" t="str">
        <f>IF(G26="","",CONCATENATE(IF(ResultadosObtidos!D23=ResultadosObtidos!$C23,"\textbf{",""),G26," \% ",IF(ResultadosObtidos!D23=ResultadosObtidos!$C23,"} &amp; "," &amp; ")))</f>
        <v>0,1 \%  &amp; </v>
      </c>
      <c r="P26" s="28" t="str">
        <f>IF(H26="","",CONCATENATE(IF(ResultadosObtidos!E23=ResultadosObtidos!$C23,"\textbf{",""),H26," \% ",IF(ResultadosObtidos!E23=ResultadosObtidos!$C23,"} &amp; "," &amp; ")))</f>
        <v>\textbf{0,0 \% } &amp; </v>
      </c>
      <c r="Q26" s="28" t="str">
        <f>IF(I26="","",CONCATENATE(IF(ResultadosObtidos!F23=ResultadosObtidos!$C23,"\textbf{",""),I26," \% ",IF(ResultadosObtidos!F23=ResultadosObtidos!$C23,"} &amp; "," &amp; ")))</f>
        <v>0,0 \%  &amp; </v>
      </c>
      <c r="R26" s="28" t="str">
        <f>IF(J26="","",CONCATENATE(IF(ResultadosObtidos!G23=ResultadosObtidos!$C23,"\textbf{",""),J26," \% ",IF(ResultadosObtidos!G23=ResultadosObtidos!$C23,"} &amp; "," &amp; ")))</f>
        <v>0,2 \%  &amp; </v>
      </c>
      <c r="S26" s="28" t="str">
        <f>IF(K26="","",CONCATENATE(IF(ResultadosObtidos!H23=ResultadosObtidos!$C23,"\textbf{",""),K26," \% ",IF(ResultadosObtidos!H23=ResultadosObtidos!$C23,"} &amp; "," &amp; ")))</f>
        <v>0,1 \%  &amp; </v>
      </c>
      <c r="T26" s="28" t="str">
        <f>IF(L26="","",CONCATENATE(IF(ResultadosObtidos!I23=ResultadosObtidos!$C23,"\textbf{",""),L26," \% ",IF(ResultadosObtidos!I23=ResultadosObtidos!$C23,"} \\ "," \\ ")))</f>
        <v>0,1 \%  \\ </v>
      </c>
      <c r="U26" s="28"/>
      <c r="V26" s="28"/>
      <c r="W26" s="28"/>
      <c r="X26" s="28"/>
      <c r="Y26" s="28"/>
      <c r="Z26" s="28"/>
    </row>
    <row r="27" ht="15.75" customHeight="1">
      <c r="A27" s="28"/>
      <c r="B27" s="33" t="str">
        <f t="shared" si="2"/>
        <v>nome instancia 19 &amp; 35 &amp; 0,0 \%  &amp; 0,2 \%  &amp; 0,8 \%  &amp; 0,5 \%  &amp; 0,1 \%  &amp; \textbf{0,0 \% } \\ </v>
      </c>
      <c r="C27" s="28"/>
      <c r="D27" s="28"/>
      <c r="E27" s="28" t="str">
        <f>ResultadosObtidos!B24</f>
        <v>nome instancia 19</v>
      </c>
      <c r="F27" s="28" t="str">
        <f>IFERROR(IF(DesvioPercentual!C24&lt;&gt;"",SUBSTITUTE(TEXT(DesvioPercentual!C24,$F$2),".",","),""),"")</f>
        <v>35</v>
      </c>
      <c r="G27" s="28" t="str">
        <f>IFERROR(IF(DesvioPercentual!D24&lt;&gt;"",SUBSTITUTE(TEXT(DesvioPercentual!D24,$F$3),".",","),""),"")</f>
        <v>0,0</v>
      </c>
      <c r="H27" s="28" t="str">
        <f>IFERROR(IF(DesvioPercentual!E24&lt;&gt;"",SUBSTITUTE(TEXT(DesvioPercentual!E24,$F$3),".",","),""),"")</f>
        <v>0,2</v>
      </c>
      <c r="I27" s="28" t="str">
        <f>IFERROR(IF(DesvioPercentual!F24&lt;&gt;"",SUBSTITUTE(TEXT(DesvioPercentual!F24,$F$3),".",","),""),"")</f>
        <v>0,8</v>
      </c>
      <c r="J27" s="28" t="str">
        <f>IFERROR(IF(DesvioPercentual!G24&lt;&gt;"",SUBSTITUTE(TEXT(DesvioPercentual!G24,$F$3),".",","),""),"")</f>
        <v>0,5</v>
      </c>
      <c r="K27" s="28" t="str">
        <f>IFERROR(IF(DesvioPercentual!H24&lt;&gt;"",SUBSTITUTE(TEXT(DesvioPercentual!H24,$F$3),".",","),""),"")</f>
        <v>0,1</v>
      </c>
      <c r="L27" s="28" t="str">
        <f>IFERROR(IF(DesvioPercentual!I24&lt;&gt;"",SUBSTITUTE(TEXT(DesvioPercentual!I24,$F$3),".",","),""),"")</f>
        <v>0,0</v>
      </c>
      <c r="M27" s="28"/>
      <c r="N27" s="28" t="str">
        <f t="shared" si="3"/>
        <v>35 &amp; </v>
      </c>
      <c r="O27" s="28" t="str">
        <f>IF(G27="","",CONCATENATE(IF(ResultadosObtidos!D24=ResultadosObtidos!$C24,"\textbf{",""),G27," \% ",IF(ResultadosObtidos!D24=ResultadosObtidos!$C24,"} &amp; "," &amp; ")))</f>
        <v>0,0 \%  &amp; </v>
      </c>
      <c r="P27" s="28" t="str">
        <f>IF(H27="","",CONCATENATE(IF(ResultadosObtidos!E24=ResultadosObtidos!$C24,"\textbf{",""),H27," \% ",IF(ResultadosObtidos!E24=ResultadosObtidos!$C24,"} &amp; "," &amp; ")))</f>
        <v>0,2 \%  &amp; </v>
      </c>
      <c r="Q27" s="28" t="str">
        <f>IF(I27="","",CONCATENATE(IF(ResultadosObtidos!F24=ResultadosObtidos!$C24,"\textbf{",""),I27," \% ",IF(ResultadosObtidos!F24=ResultadosObtidos!$C24,"} &amp; "," &amp; ")))</f>
        <v>0,8 \%  &amp; </v>
      </c>
      <c r="R27" s="28" t="str">
        <f>IF(J27="","",CONCATENATE(IF(ResultadosObtidos!G24=ResultadosObtidos!$C24,"\textbf{",""),J27," \% ",IF(ResultadosObtidos!G24=ResultadosObtidos!$C24,"} &amp; "," &amp; ")))</f>
        <v>0,5 \%  &amp; </v>
      </c>
      <c r="S27" s="28" t="str">
        <f>IF(K27="","",CONCATENATE(IF(ResultadosObtidos!H24=ResultadosObtidos!$C24,"\textbf{",""),K27," \% ",IF(ResultadosObtidos!H24=ResultadosObtidos!$C24,"} &amp; "," &amp; ")))</f>
        <v>0,1 \%  &amp; </v>
      </c>
      <c r="T27" s="28" t="str">
        <f>IF(L27="","",CONCATENATE(IF(ResultadosObtidos!I24=ResultadosObtidos!$C24,"\textbf{",""),L27," \% ",IF(ResultadosObtidos!I24=ResultadosObtidos!$C24,"} \\ "," \\ ")))</f>
        <v>\textbf{0,0 \% } \\ </v>
      </c>
      <c r="U27" s="28"/>
      <c r="V27" s="28"/>
      <c r="W27" s="28"/>
      <c r="X27" s="28"/>
      <c r="Y27" s="28"/>
      <c r="Z27" s="28"/>
    </row>
    <row r="28" ht="15.75" customHeight="1">
      <c r="A28" s="28"/>
      <c r="B28" s="33" t="str">
        <f t="shared" si="2"/>
        <v>nome instancia 20 &amp; 35 &amp; 0,0 \%  &amp; 0,2 \%  &amp; 0,8 \%  &amp; 0,5 \%  &amp; 0,1 \%  &amp; \textbf{0,0 \% } \\ </v>
      </c>
      <c r="C28" s="28"/>
      <c r="D28" s="28"/>
      <c r="E28" s="28" t="str">
        <f>ResultadosObtidos!B25</f>
        <v>nome instancia 20</v>
      </c>
      <c r="F28" s="28" t="str">
        <f>IFERROR(IF(DesvioPercentual!C25&lt;&gt;"",SUBSTITUTE(TEXT(DesvioPercentual!C25,$F$2),".",","),""),"")</f>
        <v>35</v>
      </c>
      <c r="G28" s="28" t="str">
        <f>IFERROR(IF(DesvioPercentual!D25&lt;&gt;"",SUBSTITUTE(TEXT(DesvioPercentual!D25,$F$3),".",","),""),"")</f>
        <v>0,0</v>
      </c>
      <c r="H28" s="28" t="str">
        <f>IFERROR(IF(DesvioPercentual!E25&lt;&gt;"",SUBSTITUTE(TEXT(DesvioPercentual!E25,$F$3),".",","),""),"")</f>
        <v>0,2</v>
      </c>
      <c r="I28" s="28" t="str">
        <f>IFERROR(IF(DesvioPercentual!F25&lt;&gt;"",SUBSTITUTE(TEXT(DesvioPercentual!F25,$F$3),".",","),""),"")</f>
        <v>0,8</v>
      </c>
      <c r="J28" s="28" t="str">
        <f>IFERROR(IF(DesvioPercentual!G25&lt;&gt;"",SUBSTITUTE(TEXT(DesvioPercentual!G25,$F$3),".",","),""),"")</f>
        <v>0,5</v>
      </c>
      <c r="K28" s="28" t="str">
        <f>IFERROR(IF(DesvioPercentual!H25&lt;&gt;"",SUBSTITUTE(TEXT(DesvioPercentual!H25,$F$3),".",","),""),"")</f>
        <v>0,1</v>
      </c>
      <c r="L28" s="28" t="str">
        <f>IFERROR(IF(DesvioPercentual!I25&lt;&gt;"",SUBSTITUTE(TEXT(DesvioPercentual!I25,$F$3),".",","),""),"")</f>
        <v>0,0</v>
      </c>
      <c r="M28" s="28"/>
      <c r="N28" s="28" t="str">
        <f t="shared" si="3"/>
        <v>35 &amp; </v>
      </c>
      <c r="O28" s="28" t="str">
        <f>IF(G28="","",CONCATENATE(IF(ResultadosObtidos!D25=ResultadosObtidos!$C25,"\textbf{",""),G28," \% ",IF(ResultadosObtidos!D25=ResultadosObtidos!$C25,"} &amp; "," &amp; ")))</f>
        <v>0,0 \%  &amp; </v>
      </c>
      <c r="P28" s="28" t="str">
        <f>IF(H28="","",CONCATENATE(IF(ResultadosObtidos!E25=ResultadosObtidos!$C25,"\textbf{",""),H28," \% ",IF(ResultadosObtidos!E25=ResultadosObtidos!$C25,"} &amp; "," &amp; ")))</f>
        <v>0,2 \%  &amp; </v>
      </c>
      <c r="Q28" s="28" t="str">
        <f>IF(I28="","",CONCATENATE(IF(ResultadosObtidos!F25=ResultadosObtidos!$C25,"\textbf{",""),I28," \% ",IF(ResultadosObtidos!F25=ResultadosObtidos!$C25,"} &amp; "," &amp; ")))</f>
        <v>0,8 \%  &amp; </v>
      </c>
      <c r="R28" s="28" t="str">
        <f>IF(J28="","",CONCATENATE(IF(ResultadosObtidos!G25=ResultadosObtidos!$C25,"\textbf{",""),J28," \% ",IF(ResultadosObtidos!G25=ResultadosObtidos!$C25,"} &amp; "," &amp; ")))</f>
        <v>0,5 \%  &amp; </v>
      </c>
      <c r="S28" s="28" t="str">
        <f>IF(K28="","",CONCATENATE(IF(ResultadosObtidos!H25=ResultadosObtidos!$C25,"\textbf{",""),K28," \% ",IF(ResultadosObtidos!H25=ResultadosObtidos!$C25,"} &amp; "," &amp; ")))</f>
        <v>0,1 \%  &amp; </v>
      </c>
      <c r="T28" s="28" t="str">
        <f>IF(L28="","",CONCATENATE(IF(ResultadosObtidos!I25=ResultadosObtidos!$C25,"\textbf{",""),L28," \% ",IF(ResultadosObtidos!I25=ResultadosObtidos!$C25,"} \\ "," \\ ")))</f>
        <v>\textbf{0,0 \% } \\ </v>
      </c>
      <c r="U28" s="28"/>
      <c r="V28" s="28"/>
      <c r="W28" s="28"/>
      <c r="X28" s="28"/>
      <c r="Y28" s="28"/>
      <c r="Z28" s="28"/>
    </row>
    <row r="29" ht="15.75" customHeight="1">
      <c r="A29" s="28"/>
      <c r="B29" s="33" t="str">
        <f t="shared" si="2"/>
        <v>nome instancia 21 &amp; 35 &amp; 0,0 \%  &amp; 0,2 \%  &amp; 0,8 \%  &amp; 0,5 \%  &amp; 0,1 \%  &amp; \textbf{0,0 \% } \\ </v>
      </c>
      <c r="C29" s="28"/>
      <c r="D29" s="28"/>
      <c r="E29" s="28" t="str">
        <f>ResultadosObtidos!B26</f>
        <v>nome instancia 21</v>
      </c>
      <c r="F29" s="28" t="str">
        <f>IFERROR(IF(DesvioPercentual!C26&lt;&gt;"",SUBSTITUTE(TEXT(DesvioPercentual!C26,$F$2),".",","),""),"")</f>
        <v>35</v>
      </c>
      <c r="G29" s="28" t="str">
        <f>IFERROR(IF(DesvioPercentual!D26&lt;&gt;"",SUBSTITUTE(TEXT(DesvioPercentual!D26,$F$3),".",","),""),"")</f>
        <v>0,0</v>
      </c>
      <c r="H29" s="28" t="str">
        <f>IFERROR(IF(DesvioPercentual!E26&lt;&gt;"",SUBSTITUTE(TEXT(DesvioPercentual!E26,$F$3),".",","),""),"")</f>
        <v>0,2</v>
      </c>
      <c r="I29" s="28" t="str">
        <f>IFERROR(IF(DesvioPercentual!F26&lt;&gt;"",SUBSTITUTE(TEXT(DesvioPercentual!F26,$F$3),".",","),""),"")</f>
        <v>0,8</v>
      </c>
      <c r="J29" s="28" t="str">
        <f>IFERROR(IF(DesvioPercentual!G26&lt;&gt;"",SUBSTITUTE(TEXT(DesvioPercentual!G26,$F$3),".",","),""),"")</f>
        <v>0,5</v>
      </c>
      <c r="K29" s="28" t="str">
        <f>IFERROR(IF(DesvioPercentual!H26&lt;&gt;"",SUBSTITUTE(TEXT(DesvioPercentual!H26,$F$3),".",","),""),"")</f>
        <v>0,1</v>
      </c>
      <c r="L29" s="28" t="str">
        <f>IFERROR(IF(DesvioPercentual!I26&lt;&gt;"",SUBSTITUTE(TEXT(DesvioPercentual!I26,$F$3),".",","),""),"")</f>
        <v>0,0</v>
      </c>
      <c r="M29" s="28"/>
      <c r="N29" s="28" t="str">
        <f t="shared" si="3"/>
        <v>35 &amp; </v>
      </c>
      <c r="O29" s="28" t="str">
        <f>IF(G29="","",CONCATENATE(IF(ResultadosObtidos!D26=ResultadosObtidos!$C26,"\textbf{",""),G29," \% ",IF(ResultadosObtidos!D26=ResultadosObtidos!$C26,"} &amp; "," &amp; ")))</f>
        <v>0,0 \%  &amp; </v>
      </c>
      <c r="P29" s="28" t="str">
        <f>IF(H29="","",CONCATENATE(IF(ResultadosObtidos!E26=ResultadosObtidos!$C26,"\textbf{",""),H29," \% ",IF(ResultadosObtidos!E26=ResultadosObtidos!$C26,"} &amp; "," &amp; ")))</f>
        <v>0,2 \%  &amp; </v>
      </c>
      <c r="Q29" s="28" t="str">
        <f>IF(I29="","",CONCATENATE(IF(ResultadosObtidos!F26=ResultadosObtidos!$C26,"\textbf{",""),I29," \% ",IF(ResultadosObtidos!F26=ResultadosObtidos!$C26,"} &amp; "," &amp; ")))</f>
        <v>0,8 \%  &amp; </v>
      </c>
      <c r="R29" s="28" t="str">
        <f>IF(J29="","",CONCATENATE(IF(ResultadosObtidos!G26=ResultadosObtidos!$C26,"\textbf{",""),J29," \% ",IF(ResultadosObtidos!G26=ResultadosObtidos!$C26,"} &amp; "," &amp; ")))</f>
        <v>0,5 \%  &amp; </v>
      </c>
      <c r="S29" s="28" t="str">
        <f>IF(K29="","",CONCATENATE(IF(ResultadosObtidos!H26=ResultadosObtidos!$C26,"\textbf{",""),K29," \% ",IF(ResultadosObtidos!H26=ResultadosObtidos!$C26,"} &amp; "," &amp; ")))</f>
        <v>0,1 \%  &amp; </v>
      </c>
      <c r="T29" s="28" t="str">
        <f>IF(L29="","",CONCATENATE(IF(ResultadosObtidos!I26=ResultadosObtidos!$C26,"\textbf{",""),L29," \% ",IF(ResultadosObtidos!I26=ResultadosObtidos!$C26,"} \\ "," \\ ")))</f>
        <v>\textbf{0,0 \% } \\ </v>
      </c>
      <c r="U29" s="28"/>
      <c r="V29" s="28"/>
      <c r="W29" s="28"/>
      <c r="X29" s="28"/>
      <c r="Y29" s="28"/>
      <c r="Z29" s="28"/>
    </row>
    <row r="30" ht="15.75" customHeight="1">
      <c r="A30" s="28"/>
      <c r="B30" s="33" t="str">
        <f t="shared" si="2"/>
        <v>nome instancia 22 &amp; 35 &amp; 0,0 \%  &amp; 0,2 \%  &amp; 0,8 \%  &amp; 0,5 \%  &amp; 0,1 \%  &amp; \textbf{0,0 \% } \\ </v>
      </c>
      <c r="C30" s="28"/>
      <c r="D30" s="28"/>
      <c r="E30" s="28" t="str">
        <f>ResultadosObtidos!B27</f>
        <v>nome instancia 22</v>
      </c>
      <c r="F30" s="28" t="str">
        <f>IFERROR(IF(DesvioPercentual!C27&lt;&gt;"",SUBSTITUTE(TEXT(DesvioPercentual!C27,$F$2),".",","),""),"")</f>
        <v>35</v>
      </c>
      <c r="G30" s="28" t="str">
        <f>IFERROR(IF(DesvioPercentual!D27&lt;&gt;"",SUBSTITUTE(TEXT(DesvioPercentual!D27,$F$3),".",","),""),"")</f>
        <v>0,0</v>
      </c>
      <c r="H30" s="28" t="str">
        <f>IFERROR(IF(DesvioPercentual!E27&lt;&gt;"",SUBSTITUTE(TEXT(DesvioPercentual!E27,$F$3),".",","),""),"")</f>
        <v>0,2</v>
      </c>
      <c r="I30" s="28" t="str">
        <f>IFERROR(IF(DesvioPercentual!F27&lt;&gt;"",SUBSTITUTE(TEXT(DesvioPercentual!F27,$F$3),".",","),""),"")</f>
        <v>0,8</v>
      </c>
      <c r="J30" s="28" t="str">
        <f>IFERROR(IF(DesvioPercentual!G27&lt;&gt;"",SUBSTITUTE(TEXT(DesvioPercentual!G27,$F$3),".",","),""),"")</f>
        <v>0,5</v>
      </c>
      <c r="K30" s="28" t="str">
        <f>IFERROR(IF(DesvioPercentual!H27&lt;&gt;"",SUBSTITUTE(TEXT(DesvioPercentual!H27,$F$3),".",","),""),"")</f>
        <v>0,1</v>
      </c>
      <c r="L30" s="28" t="str">
        <f>IFERROR(IF(DesvioPercentual!I27&lt;&gt;"",SUBSTITUTE(TEXT(DesvioPercentual!I27,$F$3),".",","),""),"")</f>
        <v>0,0</v>
      </c>
      <c r="M30" s="28"/>
      <c r="N30" s="28" t="str">
        <f t="shared" si="3"/>
        <v>35 &amp; </v>
      </c>
      <c r="O30" s="28" t="str">
        <f>IF(G30="","",CONCATENATE(IF(ResultadosObtidos!D27=ResultadosObtidos!$C27,"\textbf{",""),G30," \% ",IF(ResultadosObtidos!D27=ResultadosObtidos!$C27,"} &amp; "," &amp; ")))</f>
        <v>0,0 \%  &amp; </v>
      </c>
      <c r="P30" s="28" t="str">
        <f>IF(H30="","",CONCATENATE(IF(ResultadosObtidos!E27=ResultadosObtidos!$C27,"\textbf{",""),H30," \% ",IF(ResultadosObtidos!E27=ResultadosObtidos!$C27,"} &amp; "," &amp; ")))</f>
        <v>0,2 \%  &amp; </v>
      </c>
      <c r="Q30" s="28" t="str">
        <f>IF(I30="","",CONCATENATE(IF(ResultadosObtidos!F27=ResultadosObtidos!$C27,"\textbf{",""),I30," \% ",IF(ResultadosObtidos!F27=ResultadosObtidos!$C27,"} &amp; "," &amp; ")))</f>
        <v>0,8 \%  &amp; </v>
      </c>
      <c r="R30" s="28" t="str">
        <f>IF(J30="","",CONCATENATE(IF(ResultadosObtidos!G27=ResultadosObtidos!$C27,"\textbf{",""),J30," \% ",IF(ResultadosObtidos!G27=ResultadosObtidos!$C27,"} &amp; "," &amp; ")))</f>
        <v>0,5 \%  &amp; </v>
      </c>
      <c r="S30" s="28" t="str">
        <f>IF(K30="","",CONCATENATE(IF(ResultadosObtidos!H27=ResultadosObtidos!$C27,"\textbf{",""),K30," \% ",IF(ResultadosObtidos!H27=ResultadosObtidos!$C27,"} &amp; "," &amp; ")))</f>
        <v>0,1 \%  &amp; </v>
      </c>
      <c r="T30" s="28" t="str">
        <f>IF(L30="","",CONCATENATE(IF(ResultadosObtidos!I27=ResultadosObtidos!$C27,"\textbf{",""),L30," \% ",IF(ResultadosObtidos!I27=ResultadosObtidos!$C27,"} \\ "," \\ ")))</f>
        <v>\textbf{0,0 \% } \\ </v>
      </c>
      <c r="U30" s="28"/>
      <c r="V30" s="28"/>
      <c r="W30" s="28"/>
      <c r="X30" s="28"/>
      <c r="Y30" s="28"/>
      <c r="Z30" s="28"/>
    </row>
    <row r="31" ht="15.75" customHeight="1">
      <c r="A31" s="28"/>
      <c r="B31" s="33" t="str">
        <f t="shared" si="2"/>
        <v>nome instancia 23 &amp; 35 &amp; 0,0 \%  &amp; 0,2 \%  &amp; 0,8 \%  &amp; 0,5 \%  &amp; 0,1 \%  &amp; \textbf{0,0 \% } \\ </v>
      </c>
      <c r="C31" s="28"/>
      <c r="D31" s="28"/>
      <c r="E31" s="28" t="str">
        <f>ResultadosObtidos!B28</f>
        <v>nome instancia 23</v>
      </c>
      <c r="F31" s="28" t="str">
        <f>IFERROR(IF(DesvioPercentual!C28&lt;&gt;"",SUBSTITUTE(TEXT(DesvioPercentual!C28,$F$2),".",","),""),"")</f>
        <v>35</v>
      </c>
      <c r="G31" s="28" t="str">
        <f>IFERROR(IF(DesvioPercentual!D28&lt;&gt;"",SUBSTITUTE(TEXT(DesvioPercentual!D28,$F$3),".",","),""),"")</f>
        <v>0,0</v>
      </c>
      <c r="H31" s="28" t="str">
        <f>IFERROR(IF(DesvioPercentual!E28&lt;&gt;"",SUBSTITUTE(TEXT(DesvioPercentual!E28,$F$3),".",","),""),"")</f>
        <v>0,2</v>
      </c>
      <c r="I31" s="28" t="str">
        <f>IFERROR(IF(DesvioPercentual!F28&lt;&gt;"",SUBSTITUTE(TEXT(DesvioPercentual!F28,$F$3),".",","),""),"")</f>
        <v>0,8</v>
      </c>
      <c r="J31" s="28" t="str">
        <f>IFERROR(IF(DesvioPercentual!G28&lt;&gt;"",SUBSTITUTE(TEXT(DesvioPercentual!G28,$F$3),".",","),""),"")</f>
        <v>0,5</v>
      </c>
      <c r="K31" s="28" t="str">
        <f>IFERROR(IF(DesvioPercentual!H28&lt;&gt;"",SUBSTITUTE(TEXT(DesvioPercentual!H28,$F$3),".",","),""),"")</f>
        <v>0,1</v>
      </c>
      <c r="L31" s="28" t="str">
        <f>IFERROR(IF(DesvioPercentual!I28&lt;&gt;"",SUBSTITUTE(TEXT(DesvioPercentual!I28,$F$3),".",","),""),"")</f>
        <v>0,0</v>
      </c>
      <c r="M31" s="28"/>
      <c r="N31" s="28" t="str">
        <f t="shared" si="3"/>
        <v>35 &amp; </v>
      </c>
      <c r="O31" s="28" t="str">
        <f>IF(G31="","",CONCATENATE(IF(ResultadosObtidos!D28=ResultadosObtidos!$C28,"\textbf{",""),G31," \% ",IF(ResultadosObtidos!D28=ResultadosObtidos!$C28,"} &amp; "," &amp; ")))</f>
        <v>0,0 \%  &amp; </v>
      </c>
      <c r="P31" s="28" t="str">
        <f>IF(H31="","",CONCATENATE(IF(ResultadosObtidos!E28=ResultadosObtidos!$C28,"\textbf{",""),H31," \% ",IF(ResultadosObtidos!E28=ResultadosObtidos!$C28,"} &amp; "," &amp; ")))</f>
        <v>0,2 \%  &amp; </v>
      </c>
      <c r="Q31" s="28" t="str">
        <f>IF(I31="","",CONCATENATE(IF(ResultadosObtidos!F28=ResultadosObtidos!$C28,"\textbf{",""),I31," \% ",IF(ResultadosObtidos!F28=ResultadosObtidos!$C28,"} &amp; "," &amp; ")))</f>
        <v>0,8 \%  &amp; </v>
      </c>
      <c r="R31" s="28" t="str">
        <f>IF(J31="","",CONCATENATE(IF(ResultadosObtidos!G28=ResultadosObtidos!$C28,"\textbf{",""),J31," \% ",IF(ResultadosObtidos!G28=ResultadosObtidos!$C28,"} &amp; "," &amp; ")))</f>
        <v>0,5 \%  &amp; </v>
      </c>
      <c r="S31" s="28" t="str">
        <f>IF(K31="","",CONCATENATE(IF(ResultadosObtidos!H28=ResultadosObtidos!$C28,"\textbf{",""),K31," \% ",IF(ResultadosObtidos!H28=ResultadosObtidos!$C28,"} &amp; "," &amp; ")))</f>
        <v>0,1 \%  &amp; </v>
      </c>
      <c r="T31" s="28" t="str">
        <f>IF(L31="","",CONCATENATE(IF(ResultadosObtidos!I28=ResultadosObtidos!$C28,"\textbf{",""),L31," \% ",IF(ResultadosObtidos!I28=ResultadosObtidos!$C28,"} \\ "," \\ ")))</f>
        <v>\textbf{0,0 \% } \\ </v>
      </c>
      <c r="U31" s="28"/>
      <c r="V31" s="28"/>
      <c r="W31" s="28"/>
      <c r="X31" s="28"/>
      <c r="Y31" s="28"/>
      <c r="Z31" s="28"/>
    </row>
    <row r="32" ht="15.75" customHeight="1">
      <c r="A32" s="28"/>
      <c r="B32" s="33" t="str">
        <f t="shared" si="2"/>
        <v>nome instancia 24 &amp; 35 &amp; 0,0 \%  &amp; 0,2 \%  &amp; 0,8 \%  &amp; 0,5 \%  &amp; 0,1 \%  &amp; \textbf{0,0 \% } \\ </v>
      </c>
      <c r="C32" s="28"/>
      <c r="D32" s="28"/>
      <c r="E32" s="28" t="str">
        <f>ResultadosObtidos!B29</f>
        <v>nome instancia 24</v>
      </c>
      <c r="F32" s="28" t="str">
        <f>IFERROR(IF(DesvioPercentual!C29&lt;&gt;"",SUBSTITUTE(TEXT(DesvioPercentual!C29,$F$2),".",","),""),"")</f>
        <v>35</v>
      </c>
      <c r="G32" s="28" t="str">
        <f>IFERROR(IF(DesvioPercentual!D29&lt;&gt;"",SUBSTITUTE(TEXT(DesvioPercentual!D29,$F$3),".",","),""),"")</f>
        <v>0,0</v>
      </c>
      <c r="H32" s="28" t="str">
        <f>IFERROR(IF(DesvioPercentual!E29&lt;&gt;"",SUBSTITUTE(TEXT(DesvioPercentual!E29,$F$3),".",","),""),"")</f>
        <v>0,2</v>
      </c>
      <c r="I32" s="28" t="str">
        <f>IFERROR(IF(DesvioPercentual!F29&lt;&gt;"",SUBSTITUTE(TEXT(DesvioPercentual!F29,$F$3),".",","),""),"")</f>
        <v>0,8</v>
      </c>
      <c r="J32" s="28" t="str">
        <f>IFERROR(IF(DesvioPercentual!G29&lt;&gt;"",SUBSTITUTE(TEXT(DesvioPercentual!G29,$F$3),".",","),""),"")</f>
        <v>0,5</v>
      </c>
      <c r="K32" s="28" t="str">
        <f>IFERROR(IF(DesvioPercentual!H29&lt;&gt;"",SUBSTITUTE(TEXT(DesvioPercentual!H29,$F$3),".",","),""),"")</f>
        <v>0,1</v>
      </c>
      <c r="L32" s="28" t="str">
        <f>IFERROR(IF(DesvioPercentual!I29&lt;&gt;"",SUBSTITUTE(TEXT(DesvioPercentual!I29,$F$3),".",","),""),"")</f>
        <v>0,0</v>
      </c>
      <c r="M32" s="28"/>
      <c r="N32" s="28" t="str">
        <f t="shared" si="3"/>
        <v>35 &amp; </v>
      </c>
      <c r="O32" s="28" t="str">
        <f>IF(G32="","",CONCATENATE(IF(ResultadosObtidos!D29=ResultadosObtidos!$C29,"\textbf{",""),G32," \% ",IF(ResultadosObtidos!D29=ResultadosObtidos!$C29,"} &amp; "," &amp; ")))</f>
        <v>0,0 \%  &amp; </v>
      </c>
      <c r="P32" s="28" t="str">
        <f>IF(H32="","",CONCATENATE(IF(ResultadosObtidos!E29=ResultadosObtidos!$C29,"\textbf{",""),H32," \% ",IF(ResultadosObtidos!E29=ResultadosObtidos!$C29,"} &amp; "," &amp; ")))</f>
        <v>0,2 \%  &amp; </v>
      </c>
      <c r="Q32" s="28" t="str">
        <f>IF(I32="","",CONCATENATE(IF(ResultadosObtidos!F29=ResultadosObtidos!$C29,"\textbf{",""),I32," \% ",IF(ResultadosObtidos!F29=ResultadosObtidos!$C29,"} &amp; "," &amp; ")))</f>
        <v>0,8 \%  &amp; </v>
      </c>
      <c r="R32" s="28" t="str">
        <f>IF(J32="","",CONCATENATE(IF(ResultadosObtidos!G29=ResultadosObtidos!$C29,"\textbf{",""),J32," \% ",IF(ResultadosObtidos!G29=ResultadosObtidos!$C29,"} &amp; "," &amp; ")))</f>
        <v>0,5 \%  &amp; </v>
      </c>
      <c r="S32" s="28" t="str">
        <f>IF(K32="","",CONCATENATE(IF(ResultadosObtidos!H29=ResultadosObtidos!$C29,"\textbf{",""),K32," \% ",IF(ResultadosObtidos!H29=ResultadosObtidos!$C29,"} &amp; "," &amp; ")))</f>
        <v>0,1 \%  &amp; </v>
      </c>
      <c r="T32" s="28" t="str">
        <f>IF(L32="","",CONCATENATE(IF(ResultadosObtidos!I29=ResultadosObtidos!$C29,"\textbf{",""),L32," \% ",IF(ResultadosObtidos!I29=ResultadosObtidos!$C29,"} \\ "," \\ ")))</f>
        <v>\textbf{0,0 \% } \\ </v>
      </c>
      <c r="U32" s="28"/>
      <c r="V32" s="28"/>
      <c r="W32" s="28"/>
      <c r="X32" s="28"/>
      <c r="Y32" s="28"/>
      <c r="Z32" s="28"/>
    </row>
    <row r="33" ht="15.75" customHeight="1">
      <c r="A33" s="28"/>
      <c r="B33" s="33" t="str">
        <f t="shared" si="2"/>
        <v>nome instancia 25 &amp; 35 &amp; 0,0 \%  &amp; 0,2 \%  &amp; 0,8 \%  &amp; 0,5 \%  &amp; 0,1 \%  &amp; \textbf{0,0 \% } \\ </v>
      </c>
      <c r="C33" s="28"/>
      <c r="D33" s="28"/>
      <c r="E33" s="28" t="str">
        <f>ResultadosObtidos!B30</f>
        <v>nome instancia 25</v>
      </c>
      <c r="F33" s="28" t="str">
        <f>IFERROR(IF(DesvioPercentual!C30&lt;&gt;"",SUBSTITUTE(TEXT(DesvioPercentual!C30,$F$2),".",","),""),"")</f>
        <v>35</v>
      </c>
      <c r="G33" s="28" t="str">
        <f>IFERROR(IF(DesvioPercentual!D30&lt;&gt;"",SUBSTITUTE(TEXT(DesvioPercentual!D30,$F$3),".",","),""),"")</f>
        <v>0,0</v>
      </c>
      <c r="H33" s="28" t="str">
        <f>IFERROR(IF(DesvioPercentual!E30&lt;&gt;"",SUBSTITUTE(TEXT(DesvioPercentual!E30,$F$3),".",","),""),"")</f>
        <v>0,2</v>
      </c>
      <c r="I33" s="28" t="str">
        <f>IFERROR(IF(DesvioPercentual!F30&lt;&gt;"",SUBSTITUTE(TEXT(DesvioPercentual!F30,$F$3),".",","),""),"")</f>
        <v>0,8</v>
      </c>
      <c r="J33" s="28" t="str">
        <f>IFERROR(IF(DesvioPercentual!G30&lt;&gt;"",SUBSTITUTE(TEXT(DesvioPercentual!G30,$F$3),".",","),""),"")</f>
        <v>0,5</v>
      </c>
      <c r="K33" s="28" t="str">
        <f>IFERROR(IF(DesvioPercentual!H30&lt;&gt;"",SUBSTITUTE(TEXT(DesvioPercentual!H30,$F$3),".",","),""),"")</f>
        <v>0,1</v>
      </c>
      <c r="L33" s="28" t="str">
        <f>IFERROR(IF(DesvioPercentual!I30&lt;&gt;"",SUBSTITUTE(TEXT(DesvioPercentual!I30,$F$3),".",","),""),"")</f>
        <v>0,0</v>
      </c>
      <c r="M33" s="28"/>
      <c r="N33" s="28" t="str">
        <f t="shared" si="3"/>
        <v>35 &amp; </v>
      </c>
      <c r="O33" s="28" t="str">
        <f>IF(G33="","",CONCATENATE(IF(ResultadosObtidos!D30=ResultadosObtidos!$C30,"\textbf{",""),G33," \% ",IF(ResultadosObtidos!D30=ResultadosObtidos!$C30,"} &amp; "," &amp; ")))</f>
        <v>0,0 \%  &amp; </v>
      </c>
      <c r="P33" s="28" t="str">
        <f>IF(H33="","",CONCATENATE(IF(ResultadosObtidos!E30=ResultadosObtidos!$C30,"\textbf{",""),H33," \% ",IF(ResultadosObtidos!E30=ResultadosObtidos!$C30,"} &amp; "," &amp; ")))</f>
        <v>0,2 \%  &amp; </v>
      </c>
      <c r="Q33" s="28" t="str">
        <f>IF(I33="","",CONCATENATE(IF(ResultadosObtidos!F30=ResultadosObtidos!$C30,"\textbf{",""),I33," \% ",IF(ResultadosObtidos!F30=ResultadosObtidos!$C30,"} &amp; "," &amp; ")))</f>
        <v>0,8 \%  &amp; </v>
      </c>
      <c r="R33" s="28" t="str">
        <f>IF(J33="","",CONCATENATE(IF(ResultadosObtidos!G30=ResultadosObtidos!$C30,"\textbf{",""),J33," \% ",IF(ResultadosObtidos!G30=ResultadosObtidos!$C30,"} &amp; "," &amp; ")))</f>
        <v>0,5 \%  &amp; </v>
      </c>
      <c r="S33" s="28" t="str">
        <f>IF(K33="","",CONCATENATE(IF(ResultadosObtidos!H30=ResultadosObtidos!$C30,"\textbf{",""),K33," \% ",IF(ResultadosObtidos!H30=ResultadosObtidos!$C30,"} &amp; "," &amp; ")))</f>
        <v>0,1 \%  &amp; </v>
      </c>
      <c r="T33" s="28" t="str">
        <f>IF(L33="","",CONCATENATE(IF(ResultadosObtidos!I30=ResultadosObtidos!$C30,"\textbf{",""),L33," \% ",IF(ResultadosObtidos!I30=ResultadosObtidos!$C30,"} \\ "," \\ ")))</f>
        <v>\textbf{0,0 \% } \\ </v>
      </c>
      <c r="U33" s="28"/>
      <c r="V33" s="28"/>
      <c r="W33" s="28"/>
      <c r="X33" s="28"/>
      <c r="Y33" s="28"/>
      <c r="Z33" s="28"/>
    </row>
    <row r="34" ht="15.75" customHeight="1">
      <c r="A34" s="28"/>
      <c r="B34" s="33" t="str">
        <f t="shared" si="2"/>
        <v>nome instancia 26 &amp; 35 &amp; 0,0 \%  &amp; 0,2 \%  &amp; 0,8 \%  &amp; 0,5 \%  &amp; 0,1 \%  &amp; \textbf{0,0 \% } \\ </v>
      </c>
      <c r="C34" s="28"/>
      <c r="D34" s="28"/>
      <c r="E34" s="28" t="str">
        <f>ResultadosObtidos!B31</f>
        <v>nome instancia 26</v>
      </c>
      <c r="F34" s="28" t="str">
        <f>IFERROR(IF(DesvioPercentual!C31&lt;&gt;"",SUBSTITUTE(TEXT(DesvioPercentual!C31,$F$2),".",","),""),"")</f>
        <v>35</v>
      </c>
      <c r="G34" s="28" t="str">
        <f>IFERROR(IF(DesvioPercentual!D31&lt;&gt;"",SUBSTITUTE(TEXT(DesvioPercentual!D31,$F$3),".",","),""),"")</f>
        <v>0,0</v>
      </c>
      <c r="H34" s="28" t="str">
        <f>IFERROR(IF(DesvioPercentual!E31&lt;&gt;"",SUBSTITUTE(TEXT(DesvioPercentual!E31,$F$3),".",","),""),"")</f>
        <v>0,2</v>
      </c>
      <c r="I34" s="28" t="str">
        <f>IFERROR(IF(DesvioPercentual!F31&lt;&gt;"",SUBSTITUTE(TEXT(DesvioPercentual!F31,$F$3),".",","),""),"")</f>
        <v>0,8</v>
      </c>
      <c r="J34" s="28" t="str">
        <f>IFERROR(IF(DesvioPercentual!G31&lt;&gt;"",SUBSTITUTE(TEXT(DesvioPercentual!G31,$F$3),".",","),""),"")</f>
        <v>0,5</v>
      </c>
      <c r="K34" s="28" t="str">
        <f>IFERROR(IF(DesvioPercentual!H31&lt;&gt;"",SUBSTITUTE(TEXT(DesvioPercentual!H31,$F$3),".",","),""),"")</f>
        <v>0,1</v>
      </c>
      <c r="L34" s="28" t="str">
        <f>IFERROR(IF(DesvioPercentual!I31&lt;&gt;"",SUBSTITUTE(TEXT(DesvioPercentual!I31,$F$3),".",","),""),"")</f>
        <v>0,0</v>
      </c>
      <c r="M34" s="28"/>
      <c r="N34" s="28" t="str">
        <f t="shared" si="3"/>
        <v>35 &amp; </v>
      </c>
      <c r="O34" s="28" t="str">
        <f>IF(G34="","",CONCATENATE(IF(ResultadosObtidos!D31=ResultadosObtidos!$C31,"\textbf{",""),G34," \% ",IF(ResultadosObtidos!D31=ResultadosObtidos!$C31,"} &amp; "," &amp; ")))</f>
        <v>0,0 \%  &amp; </v>
      </c>
      <c r="P34" s="28" t="str">
        <f>IF(H34="","",CONCATENATE(IF(ResultadosObtidos!E31=ResultadosObtidos!$C31,"\textbf{",""),H34," \% ",IF(ResultadosObtidos!E31=ResultadosObtidos!$C31,"} &amp; "," &amp; ")))</f>
        <v>0,2 \%  &amp; </v>
      </c>
      <c r="Q34" s="28" t="str">
        <f>IF(I34="","",CONCATENATE(IF(ResultadosObtidos!F31=ResultadosObtidos!$C31,"\textbf{",""),I34," \% ",IF(ResultadosObtidos!F31=ResultadosObtidos!$C31,"} &amp; "," &amp; ")))</f>
        <v>0,8 \%  &amp; </v>
      </c>
      <c r="R34" s="28" t="str">
        <f>IF(J34="","",CONCATENATE(IF(ResultadosObtidos!G31=ResultadosObtidos!$C31,"\textbf{",""),J34," \% ",IF(ResultadosObtidos!G31=ResultadosObtidos!$C31,"} &amp; "," &amp; ")))</f>
        <v>0,5 \%  &amp; </v>
      </c>
      <c r="S34" s="28" t="str">
        <f>IF(K34="","",CONCATENATE(IF(ResultadosObtidos!H31=ResultadosObtidos!$C31,"\textbf{",""),K34," \% ",IF(ResultadosObtidos!H31=ResultadosObtidos!$C31,"} &amp; "," &amp; ")))</f>
        <v>0,1 \%  &amp; </v>
      </c>
      <c r="T34" s="28" t="str">
        <f>IF(L34="","",CONCATENATE(IF(ResultadosObtidos!I31=ResultadosObtidos!$C31,"\textbf{",""),L34," \% ",IF(ResultadosObtidos!I31=ResultadosObtidos!$C31,"} \\ "," \\ ")))</f>
        <v>\textbf{0,0 \% } \\ </v>
      </c>
      <c r="U34" s="28"/>
      <c r="V34" s="28"/>
      <c r="W34" s="28"/>
      <c r="X34" s="28"/>
      <c r="Y34" s="28"/>
      <c r="Z34" s="28"/>
    </row>
    <row r="35" ht="15.75" customHeight="1">
      <c r="A35" s="28"/>
      <c r="B35" s="33" t="str">
        <f t="shared" si="2"/>
        <v>nome instancia 27 &amp; 35 &amp; 0,0 \%  &amp; 0,2 \%  &amp; 0,8 \%  &amp; 0,5 \%  &amp; 0,1 \%  &amp; \textbf{0,0 \% } \\ </v>
      </c>
      <c r="C35" s="28"/>
      <c r="D35" s="28"/>
      <c r="E35" s="28" t="str">
        <f>ResultadosObtidos!B32</f>
        <v>nome instancia 27</v>
      </c>
      <c r="F35" s="28" t="str">
        <f>IFERROR(IF(DesvioPercentual!C32&lt;&gt;"",SUBSTITUTE(TEXT(DesvioPercentual!C32,$F$2),".",","),""),"")</f>
        <v>35</v>
      </c>
      <c r="G35" s="28" t="str">
        <f>IFERROR(IF(DesvioPercentual!D32&lt;&gt;"",SUBSTITUTE(TEXT(DesvioPercentual!D32,$F$3),".",","),""),"")</f>
        <v>0,0</v>
      </c>
      <c r="H35" s="28" t="str">
        <f>IFERROR(IF(DesvioPercentual!E32&lt;&gt;"",SUBSTITUTE(TEXT(DesvioPercentual!E32,$F$3),".",","),""),"")</f>
        <v>0,2</v>
      </c>
      <c r="I35" s="28" t="str">
        <f>IFERROR(IF(DesvioPercentual!F32&lt;&gt;"",SUBSTITUTE(TEXT(DesvioPercentual!F32,$F$3),".",","),""),"")</f>
        <v>0,8</v>
      </c>
      <c r="J35" s="28" t="str">
        <f>IFERROR(IF(DesvioPercentual!G32&lt;&gt;"",SUBSTITUTE(TEXT(DesvioPercentual!G32,$F$3),".",","),""),"")</f>
        <v>0,5</v>
      </c>
      <c r="K35" s="28" t="str">
        <f>IFERROR(IF(DesvioPercentual!H32&lt;&gt;"",SUBSTITUTE(TEXT(DesvioPercentual!H32,$F$3),".",","),""),"")</f>
        <v>0,1</v>
      </c>
      <c r="L35" s="28" t="str">
        <f>IFERROR(IF(DesvioPercentual!I32&lt;&gt;"",SUBSTITUTE(TEXT(DesvioPercentual!I32,$F$3),".",","),""),"")</f>
        <v>0,0</v>
      </c>
      <c r="M35" s="28"/>
      <c r="N35" s="28" t="str">
        <f t="shared" si="3"/>
        <v>35 &amp; </v>
      </c>
      <c r="O35" s="28" t="str">
        <f>IF(G35="","",CONCATENATE(IF(ResultadosObtidos!D32=ResultadosObtidos!$C32,"\textbf{",""),G35," \% ",IF(ResultadosObtidos!D32=ResultadosObtidos!$C32,"} &amp; "," &amp; ")))</f>
        <v>0,0 \%  &amp; </v>
      </c>
      <c r="P35" s="28" t="str">
        <f>IF(H35="","",CONCATENATE(IF(ResultadosObtidos!E32=ResultadosObtidos!$C32,"\textbf{",""),H35," \% ",IF(ResultadosObtidos!E32=ResultadosObtidos!$C32,"} &amp; "," &amp; ")))</f>
        <v>0,2 \%  &amp; </v>
      </c>
      <c r="Q35" s="28" t="str">
        <f>IF(I35="","",CONCATENATE(IF(ResultadosObtidos!F32=ResultadosObtidos!$C32,"\textbf{",""),I35," \% ",IF(ResultadosObtidos!F32=ResultadosObtidos!$C32,"} &amp; "," &amp; ")))</f>
        <v>0,8 \%  &amp; </v>
      </c>
      <c r="R35" s="28" t="str">
        <f>IF(J35="","",CONCATENATE(IF(ResultadosObtidos!G32=ResultadosObtidos!$C32,"\textbf{",""),J35," \% ",IF(ResultadosObtidos!G32=ResultadosObtidos!$C32,"} &amp; "," &amp; ")))</f>
        <v>0,5 \%  &amp; </v>
      </c>
      <c r="S35" s="28" t="str">
        <f>IF(K35="","",CONCATENATE(IF(ResultadosObtidos!H32=ResultadosObtidos!$C32,"\textbf{",""),K35," \% ",IF(ResultadosObtidos!H32=ResultadosObtidos!$C32,"} &amp; "," &amp; ")))</f>
        <v>0,1 \%  &amp; </v>
      </c>
      <c r="T35" s="28" t="str">
        <f>IF(L35="","",CONCATENATE(IF(ResultadosObtidos!I32=ResultadosObtidos!$C32,"\textbf{",""),L35," \% ",IF(ResultadosObtidos!I32=ResultadosObtidos!$C32,"} \\ "," \\ ")))</f>
        <v>\textbf{0,0 \% } \\ </v>
      </c>
      <c r="U35" s="28"/>
      <c r="V35" s="28"/>
      <c r="W35" s="28"/>
      <c r="X35" s="28"/>
      <c r="Y35" s="28"/>
      <c r="Z35" s="28"/>
    </row>
    <row r="36" ht="15.75" customHeight="1">
      <c r="A36" s="28"/>
      <c r="B36" s="33" t="str">
        <f t="shared" si="2"/>
        <v>nome instancia 28 &amp; 35 &amp; 0,0 \%  &amp; 0,2 \%  &amp; 0,8 \%  &amp; 0,5 \%  &amp; 0,1 \%  &amp; \textbf{0,0 \% } \\ </v>
      </c>
      <c r="C36" s="28"/>
      <c r="D36" s="28"/>
      <c r="E36" s="28" t="str">
        <f>ResultadosObtidos!B33</f>
        <v>nome instancia 28</v>
      </c>
      <c r="F36" s="28" t="str">
        <f>IFERROR(IF(DesvioPercentual!C33&lt;&gt;"",SUBSTITUTE(TEXT(DesvioPercentual!C33,$F$2),".",","),""),"")</f>
        <v>35</v>
      </c>
      <c r="G36" s="28" t="str">
        <f>IFERROR(IF(DesvioPercentual!D33&lt;&gt;"",SUBSTITUTE(TEXT(DesvioPercentual!D33,$F$3),".",","),""),"")</f>
        <v>0,0</v>
      </c>
      <c r="H36" s="28" t="str">
        <f>IFERROR(IF(DesvioPercentual!E33&lt;&gt;"",SUBSTITUTE(TEXT(DesvioPercentual!E33,$F$3),".",","),""),"")</f>
        <v>0,2</v>
      </c>
      <c r="I36" s="28" t="str">
        <f>IFERROR(IF(DesvioPercentual!F33&lt;&gt;"",SUBSTITUTE(TEXT(DesvioPercentual!F33,$F$3),".",","),""),"")</f>
        <v>0,8</v>
      </c>
      <c r="J36" s="28" t="str">
        <f>IFERROR(IF(DesvioPercentual!G33&lt;&gt;"",SUBSTITUTE(TEXT(DesvioPercentual!G33,$F$3),".",","),""),"")</f>
        <v>0,5</v>
      </c>
      <c r="K36" s="28" t="str">
        <f>IFERROR(IF(DesvioPercentual!H33&lt;&gt;"",SUBSTITUTE(TEXT(DesvioPercentual!H33,$F$3),".",","),""),"")</f>
        <v>0,1</v>
      </c>
      <c r="L36" s="28" t="str">
        <f>IFERROR(IF(DesvioPercentual!I33&lt;&gt;"",SUBSTITUTE(TEXT(DesvioPercentual!I33,$F$3),".",","),""),"")</f>
        <v>0,0</v>
      </c>
      <c r="M36" s="28"/>
      <c r="N36" s="28" t="str">
        <f t="shared" si="3"/>
        <v>35 &amp; </v>
      </c>
      <c r="O36" s="28" t="str">
        <f>IF(G36="","",CONCATENATE(IF(ResultadosObtidos!D33=ResultadosObtidos!$C33,"\textbf{",""),G36," \% ",IF(ResultadosObtidos!D33=ResultadosObtidos!$C33,"} &amp; "," &amp; ")))</f>
        <v>0,0 \%  &amp; </v>
      </c>
      <c r="P36" s="28" t="str">
        <f>IF(H36="","",CONCATENATE(IF(ResultadosObtidos!E33=ResultadosObtidos!$C33,"\textbf{",""),H36," \% ",IF(ResultadosObtidos!E33=ResultadosObtidos!$C33,"} &amp; "," &amp; ")))</f>
        <v>0,2 \%  &amp; </v>
      </c>
      <c r="Q36" s="28" t="str">
        <f>IF(I36="","",CONCATENATE(IF(ResultadosObtidos!F33=ResultadosObtidos!$C33,"\textbf{",""),I36," \% ",IF(ResultadosObtidos!F33=ResultadosObtidos!$C33,"} &amp; "," &amp; ")))</f>
        <v>0,8 \%  &amp; </v>
      </c>
      <c r="R36" s="28" t="str">
        <f>IF(J36="","",CONCATENATE(IF(ResultadosObtidos!G33=ResultadosObtidos!$C33,"\textbf{",""),J36," \% ",IF(ResultadosObtidos!G33=ResultadosObtidos!$C33,"} &amp; "," &amp; ")))</f>
        <v>0,5 \%  &amp; </v>
      </c>
      <c r="S36" s="28" t="str">
        <f>IF(K36="","",CONCATENATE(IF(ResultadosObtidos!H33=ResultadosObtidos!$C33,"\textbf{",""),K36," \% ",IF(ResultadosObtidos!H33=ResultadosObtidos!$C33,"} &amp; "," &amp; ")))</f>
        <v>0,1 \%  &amp; </v>
      </c>
      <c r="T36" s="28" t="str">
        <f>IF(L36="","",CONCATENATE(IF(ResultadosObtidos!I33=ResultadosObtidos!$C33,"\textbf{",""),L36," \% ",IF(ResultadosObtidos!I33=ResultadosObtidos!$C33,"} \\ "," \\ ")))</f>
        <v>\textbf{0,0 \% } \\ </v>
      </c>
      <c r="U36" s="28"/>
      <c r="V36" s="28"/>
      <c r="W36" s="28"/>
      <c r="X36" s="28"/>
      <c r="Y36" s="28"/>
      <c r="Z36" s="28"/>
    </row>
    <row r="37" ht="15.75" customHeight="1">
      <c r="A37" s="28"/>
      <c r="B37" s="33" t="str">
        <f t="shared" si="2"/>
        <v>nome instancia 29 &amp; 35 &amp; 0,0 \%  &amp; 0,2 \%  &amp; 0,8 \%  &amp; 0,5 \%  &amp; 0,1 \%  &amp; \textbf{0,0 \% } \\ </v>
      </c>
      <c r="C37" s="28"/>
      <c r="D37" s="28"/>
      <c r="E37" s="28" t="str">
        <f>ResultadosObtidos!B34</f>
        <v>nome instancia 29</v>
      </c>
      <c r="F37" s="28" t="str">
        <f>IFERROR(IF(DesvioPercentual!C34&lt;&gt;"",SUBSTITUTE(TEXT(DesvioPercentual!C34,$F$2),".",","),""),"")</f>
        <v>35</v>
      </c>
      <c r="G37" s="28" t="str">
        <f>IFERROR(IF(DesvioPercentual!D34&lt;&gt;"",SUBSTITUTE(TEXT(DesvioPercentual!D34,$F$3),".",","),""),"")</f>
        <v>0,0</v>
      </c>
      <c r="H37" s="28" t="str">
        <f>IFERROR(IF(DesvioPercentual!E34&lt;&gt;"",SUBSTITUTE(TEXT(DesvioPercentual!E34,$F$3),".",","),""),"")</f>
        <v>0,2</v>
      </c>
      <c r="I37" s="28" t="str">
        <f>IFERROR(IF(DesvioPercentual!F34&lt;&gt;"",SUBSTITUTE(TEXT(DesvioPercentual!F34,$F$3),".",","),""),"")</f>
        <v>0,8</v>
      </c>
      <c r="J37" s="28" t="str">
        <f>IFERROR(IF(DesvioPercentual!G34&lt;&gt;"",SUBSTITUTE(TEXT(DesvioPercentual!G34,$F$3),".",","),""),"")</f>
        <v>0,5</v>
      </c>
      <c r="K37" s="28" t="str">
        <f>IFERROR(IF(DesvioPercentual!H34&lt;&gt;"",SUBSTITUTE(TEXT(DesvioPercentual!H34,$F$3),".",","),""),"")</f>
        <v>0,1</v>
      </c>
      <c r="L37" s="28" t="str">
        <f>IFERROR(IF(DesvioPercentual!I34&lt;&gt;"",SUBSTITUTE(TEXT(DesvioPercentual!I34,$F$3),".",","),""),"")</f>
        <v>0,0</v>
      </c>
      <c r="M37" s="28"/>
      <c r="N37" s="28" t="str">
        <f t="shared" si="3"/>
        <v>35 &amp; </v>
      </c>
      <c r="O37" s="28" t="str">
        <f>IF(G37="","",CONCATENATE(IF(ResultadosObtidos!D34=ResultadosObtidos!$C34,"\textbf{",""),G37," \% ",IF(ResultadosObtidos!D34=ResultadosObtidos!$C34,"} &amp; "," &amp; ")))</f>
        <v>0,0 \%  &amp; </v>
      </c>
      <c r="P37" s="28" t="str">
        <f>IF(H37="","",CONCATENATE(IF(ResultadosObtidos!E34=ResultadosObtidos!$C34,"\textbf{",""),H37," \% ",IF(ResultadosObtidos!E34=ResultadosObtidos!$C34,"} &amp; "," &amp; ")))</f>
        <v>0,2 \%  &amp; </v>
      </c>
      <c r="Q37" s="28" t="str">
        <f>IF(I37="","",CONCATENATE(IF(ResultadosObtidos!F34=ResultadosObtidos!$C34,"\textbf{",""),I37," \% ",IF(ResultadosObtidos!F34=ResultadosObtidos!$C34,"} &amp; "," &amp; ")))</f>
        <v>0,8 \%  &amp; </v>
      </c>
      <c r="R37" s="28" t="str">
        <f>IF(J37="","",CONCATENATE(IF(ResultadosObtidos!G34=ResultadosObtidos!$C34,"\textbf{",""),J37," \% ",IF(ResultadosObtidos!G34=ResultadosObtidos!$C34,"} &amp; "," &amp; ")))</f>
        <v>0,5 \%  &amp; </v>
      </c>
      <c r="S37" s="28" t="str">
        <f>IF(K37="","",CONCATENATE(IF(ResultadosObtidos!H34=ResultadosObtidos!$C34,"\textbf{",""),K37," \% ",IF(ResultadosObtidos!H34=ResultadosObtidos!$C34,"} &amp; "," &amp; ")))</f>
        <v>0,1 \%  &amp; </v>
      </c>
      <c r="T37" s="28" t="str">
        <f>IF(L37="","",CONCATENATE(IF(ResultadosObtidos!I34=ResultadosObtidos!$C34,"\textbf{",""),L37," \% ",IF(ResultadosObtidos!I34=ResultadosObtidos!$C34,"} \\ "," \\ ")))</f>
        <v>\textbf{0,0 \% } \\ </v>
      </c>
      <c r="U37" s="28"/>
      <c r="V37" s="28"/>
      <c r="W37" s="28"/>
      <c r="X37" s="28"/>
      <c r="Y37" s="28"/>
      <c r="Z37" s="28"/>
    </row>
    <row r="38" ht="15.75" customHeight="1">
      <c r="A38" s="28"/>
      <c r="B38" s="33" t="str">
        <f t="shared" si="2"/>
        <v>nome instancia 30 &amp; 35 &amp; 0,0 \%  &amp; 0,2 \%  &amp; 0,8 \%  &amp; 0,5 \%  &amp; 0,1 \%  &amp; \textbf{0,0 \% } \\ </v>
      </c>
      <c r="C38" s="28"/>
      <c r="D38" s="28"/>
      <c r="E38" s="28" t="str">
        <f>ResultadosObtidos!B35</f>
        <v>nome instancia 30</v>
      </c>
      <c r="F38" s="28" t="str">
        <f>IFERROR(IF(DesvioPercentual!C35&lt;&gt;"",SUBSTITUTE(TEXT(DesvioPercentual!C35,$F$2),".",","),""),"")</f>
        <v>35</v>
      </c>
      <c r="G38" s="28" t="str">
        <f>IFERROR(IF(DesvioPercentual!D35&lt;&gt;"",SUBSTITUTE(TEXT(DesvioPercentual!D35,$F$3),".",","),""),"")</f>
        <v>0,0</v>
      </c>
      <c r="H38" s="28" t="str">
        <f>IFERROR(IF(DesvioPercentual!E35&lt;&gt;"",SUBSTITUTE(TEXT(DesvioPercentual!E35,$F$3),".",","),""),"")</f>
        <v>0,2</v>
      </c>
      <c r="I38" s="28" t="str">
        <f>IFERROR(IF(DesvioPercentual!F35&lt;&gt;"",SUBSTITUTE(TEXT(DesvioPercentual!F35,$F$3),".",","),""),"")</f>
        <v>0,8</v>
      </c>
      <c r="J38" s="28" t="str">
        <f>IFERROR(IF(DesvioPercentual!G35&lt;&gt;"",SUBSTITUTE(TEXT(DesvioPercentual!G35,$F$3),".",","),""),"")</f>
        <v>0,5</v>
      </c>
      <c r="K38" s="28" t="str">
        <f>IFERROR(IF(DesvioPercentual!H35&lt;&gt;"",SUBSTITUTE(TEXT(DesvioPercentual!H35,$F$3),".",","),""),"")</f>
        <v>0,1</v>
      </c>
      <c r="L38" s="28" t="str">
        <f>IFERROR(IF(DesvioPercentual!I35&lt;&gt;"",SUBSTITUTE(TEXT(DesvioPercentual!I35,$F$3),".",","),""),"")</f>
        <v>0,0</v>
      </c>
      <c r="M38" s="28"/>
      <c r="N38" s="28" t="str">
        <f t="shared" si="3"/>
        <v>35 &amp; </v>
      </c>
      <c r="O38" s="28" t="str">
        <f>IF(G38="","",CONCATENATE(IF(ResultadosObtidos!D35=ResultadosObtidos!$C35,"\textbf{",""),G38," \% ",IF(ResultadosObtidos!D35=ResultadosObtidos!$C35,"} &amp; "," &amp; ")))</f>
        <v>0,0 \%  &amp; </v>
      </c>
      <c r="P38" s="28" t="str">
        <f>IF(H38="","",CONCATENATE(IF(ResultadosObtidos!E35=ResultadosObtidos!$C35,"\textbf{",""),H38," \% ",IF(ResultadosObtidos!E35=ResultadosObtidos!$C35,"} &amp; "," &amp; ")))</f>
        <v>0,2 \%  &amp; </v>
      </c>
      <c r="Q38" s="28" t="str">
        <f>IF(I38="","",CONCATENATE(IF(ResultadosObtidos!F35=ResultadosObtidos!$C35,"\textbf{",""),I38," \% ",IF(ResultadosObtidos!F35=ResultadosObtidos!$C35,"} &amp; "," &amp; ")))</f>
        <v>0,8 \%  &amp; </v>
      </c>
      <c r="R38" s="28" t="str">
        <f>IF(J38="","",CONCATENATE(IF(ResultadosObtidos!G35=ResultadosObtidos!$C35,"\textbf{",""),J38," \% ",IF(ResultadosObtidos!G35=ResultadosObtidos!$C35,"} &amp; "," &amp; ")))</f>
        <v>0,5 \%  &amp; </v>
      </c>
      <c r="S38" s="28" t="str">
        <f>IF(K38="","",CONCATENATE(IF(ResultadosObtidos!H35=ResultadosObtidos!$C35,"\textbf{",""),K38," \% ",IF(ResultadosObtidos!H35=ResultadosObtidos!$C35,"} &amp; "," &amp; ")))</f>
        <v>0,1 \%  &amp; </v>
      </c>
      <c r="T38" s="28" t="str">
        <f>IF(L38="","",CONCATENATE(IF(ResultadosObtidos!I35=ResultadosObtidos!$C35,"\textbf{",""),L38," \% ",IF(ResultadosObtidos!I35=ResultadosObtidos!$C35,"} \\ "," \\ ")))</f>
        <v>\textbf{0,0 \% } \\ </v>
      </c>
      <c r="U38" s="28"/>
      <c r="V38" s="28"/>
      <c r="W38" s="28"/>
      <c r="X38" s="28"/>
      <c r="Y38" s="28"/>
      <c r="Z38" s="28"/>
    </row>
    <row r="39" ht="15.75" customHeight="1">
      <c r="A39" s="28"/>
      <c r="B39" s="33" t="str">
        <f t="shared" si="2"/>
        <v>LINHA VAZIA OU ERRO EM ALGUMA COLUNA</v>
      </c>
      <c r="C39" s="28"/>
      <c r="D39" s="28"/>
      <c r="E39" s="28" t="str">
        <f>ResultadosObtidos!B36</f>
        <v/>
      </c>
      <c r="F39" s="28" t="str">
        <f>IFERROR(IF(DesvioPercentual!C36&lt;&gt;"",SUBSTITUTE(TEXT(DesvioPercentual!C36,$F$2),".",","),""),"")</f>
        <v/>
      </c>
      <c r="G39" s="28" t="str">
        <f>IFERROR(IF(DesvioPercentual!D36&lt;&gt;"",SUBSTITUTE(TEXT(DesvioPercentual!D36,$F$3),".",","),""),"")</f>
        <v/>
      </c>
      <c r="H39" s="28" t="str">
        <f>IFERROR(IF(DesvioPercentual!E36&lt;&gt;"",SUBSTITUTE(TEXT(DesvioPercentual!E36,$F$3),".",","),""),"")</f>
        <v/>
      </c>
      <c r="I39" s="28" t="str">
        <f>IFERROR(IF(DesvioPercentual!F36&lt;&gt;"",SUBSTITUTE(TEXT(DesvioPercentual!F36,$F$3),".",","),""),"")</f>
        <v/>
      </c>
      <c r="J39" s="28" t="str">
        <f>IFERROR(IF(DesvioPercentual!G36&lt;&gt;"",SUBSTITUTE(TEXT(DesvioPercentual!G36,$F$3),".",","),""),"")</f>
        <v/>
      </c>
      <c r="K39" s="28" t="str">
        <f>IFERROR(IF(DesvioPercentual!H36&lt;&gt;"",SUBSTITUTE(TEXT(DesvioPercentual!H36,$F$3),".",","),""),"")</f>
        <v/>
      </c>
      <c r="L39" s="28" t="str">
        <f>IFERROR(IF(DesvioPercentual!I36&lt;&gt;"",SUBSTITUTE(TEXT(DesvioPercentual!I36,$F$3),".",","),""),"")</f>
        <v/>
      </c>
      <c r="M39" s="28"/>
      <c r="N39" s="28" t="str">
        <f t="shared" si="3"/>
        <v> &amp; </v>
      </c>
      <c r="O39" s="28" t="str">
        <f>IF(G39="","",CONCATENATE(IF(ResultadosObtidos!D36=ResultadosObtidos!$C36,"\textbf{",""),G39," \% ",IF(ResultadosObtidos!D36=ResultadosObtidos!$C36,"} &amp; "," &amp; ")))</f>
        <v/>
      </c>
      <c r="P39" s="28" t="str">
        <f>IF(H39="","",CONCATENATE(IF(ResultadosObtidos!E36=ResultadosObtidos!$C36,"\textbf{",""),H39," \% ",IF(ResultadosObtidos!E36=ResultadosObtidos!$C36,"} &amp; "," &amp; ")))</f>
        <v/>
      </c>
      <c r="Q39" s="28" t="str">
        <f>IF(I39="","",CONCATENATE(IF(ResultadosObtidos!F36=ResultadosObtidos!$C36,"\textbf{",""),I39," \% ",IF(ResultadosObtidos!F36=ResultadosObtidos!$C36,"} &amp; "," &amp; ")))</f>
        <v/>
      </c>
      <c r="R39" s="28" t="str">
        <f>IF(J39="","",CONCATENATE(IF(ResultadosObtidos!G36=ResultadosObtidos!$C36,"\textbf{",""),J39," \% ",IF(ResultadosObtidos!G36=ResultadosObtidos!$C36,"} &amp; "," &amp; ")))</f>
        <v/>
      </c>
      <c r="S39" s="28" t="str">
        <f>IF(K39="","",CONCATENATE(IF(ResultadosObtidos!H36=ResultadosObtidos!$C36,"\textbf{",""),K39," \% ",IF(ResultadosObtidos!H36=ResultadosObtidos!$C36,"} &amp; "," &amp; ")))</f>
        <v/>
      </c>
      <c r="T39" s="28" t="str">
        <f>IF(L39="","",CONCATENATE(IF(ResultadosObtidos!I36=ResultadosObtidos!$C36,"\textbf{",""),L39," \% ",IF(ResultadosObtidos!I36=ResultadosObtidos!$C36,"} \\ "," \\ ")))</f>
        <v/>
      </c>
      <c r="U39" s="28"/>
      <c r="V39" s="28"/>
      <c r="W39" s="28"/>
      <c r="X39" s="28"/>
      <c r="Y39" s="28"/>
      <c r="Z39" s="28"/>
    </row>
    <row r="40" ht="15.75" customHeight="1">
      <c r="A40" s="28"/>
      <c r="B40" s="33" t="str">
        <f t="shared" si="2"/>
        <v>LINHA VAZIA OU ERRO EM ALGUMA COLUNA</v>
      </c>
      <c r="C40" s="28"/>
      <c r="D40" s="28"/>
      <c r="E40" s="28" t="str">
        <f>ResultadosObtidos!B37</f>
        <v/>
      </c>
      <c r="F40" s="28" t="str">
        <f>IFERROR(IF(DesvioPercentual!C37&lt;&gt;"",SUBSTITUTE(TEXT(DesvioPercentual!C37,$F$2),".",","),""),"")</f>
        <v/>
      </c>
      <c r="G40" s="28" t="str">
        <f>IFERROR(IF(DesvioPercentual!D37&lt;&gt;"",SUBSTITUTE(TEXT(DesvioPercentual!D37,$F$3),".",","),""),"")</f>
        <v/>
      </c>
      <c r="H40" s="28" t="str">
        <f>IFERROR(IF(DesvioPercentual!E37&lt;&gt;"",SUBSTITUTE(TEXT(DesvioPercentual!E37,$F$3),".",","),""),"")</f>
        <v/>
      </c>
      <c r="I40" s="28" t="str">
        <f>IFERROR(IF(DesvioPercentual!F37&lt;&gt;"",SUBSTITUTE(TEXT(DesvioPercentual!F37,$F$3),".",","),""),"")</f>
        <v/>
      </c>
      <c r="J40" s="28" t="str">
        <f>IFERROR(IF(DesvioPercentual!G37&lt;&gt;"",SUBSTITUTE(TEXT(DesvioPercentual!G37,$F$3),".",","),""),"")</f>
        <v/>
      </c>
      <c r="K40" s="28" t="str">
        <f>IFERROR(IF(DesvioPercentual!H37&lt;&gt;"",SUBSTITUTE(TEXT(DesvioPercentual!H37,$F$3),".",","),""),"")</f>
        <v/>
      </c>
      <c r="L40" s="28" t="str">
        <f>IFERROR(IF(DesvioPercentual!I37&lt;&gt;"",SUBSTITUTE(TEXT(DesvioPercentual!I37,$F$3),".",","),""),"")</f>
        <v/>
      </c>
      <c r="M40" s="28"/>
      <c r="N40" s="28" t="str">
        <f t="shared" si="3"/>
        <v> &amp; </v>
      </c>
      <c r="O40" s="28" t="str">
        <f>IF(G40="","",CONCATENATE(IF(ResultadosObtidos!D37=ResultadosObtidos!$C37,"\textbf{",""),G40," \% ",IF(ResultadosObtidos!D37=ResultadosObtidos!$C37,"} &amp; "," &amp; ")))</f>
        <v/>
      </c>
      <c r="P40" s="28" t="str">
        <f>IF(H40="","",CONCATENATE(IF(ResultadosObtidos!E37=ResultadosObtidos!$C37,"\textbf{",""),H40," \% ",IF(ResultadosObtidos!E37=ResultadosObtidos!$C37,"} &amp; "," &amp; ")))</f>
        <v/>
      </c>
      <c r="Q40" s="28" t="str">
        <f>IF(I40="","",CONCATENATE(IF(ResultadosObtidos!F37=ResultadosObtidos!$C37,"\textbf{",""),I40," \% ",IF(ResultadosObtidos!F37=ResultadosObtidos!$C37,"} &amp; "," &amp; ")))</f>
        <v/>
      </c>
      <c r="R40" s="28" t="str">
        <f>IF(J40="","",CONCATENATE(IF(ResultadosObtidos!G37=ResultadosObtidos!$C37,"\textbf{",""),J40," \% ",IF(ResultadosObtidos!G37=ResultadosObtidos!$C37,"} &amp; "," &amp; ")))</f>
        <v/>
      </c>
      <c r="S40" s="28" t="str">
        <f>IF(K40="","",CONCATENATE(IF(ResultadosObtidos!H37=ResultadosObtidos!$C37,"\textbf{",""),K40," \% ",IF(ResultadosObtidos!H37=ResultadosObtidos!$C37,"} &amp; "," &amp; ")))</f>
        <v/>
      </c>
      <c r="T40" s="28" t="str">
        <f>IF(L40="","",CONCATENATE(IF(ResultadosObtidos!I37=ResultadosObtidos!$C37,"\textbf{",""),L40," \% ",IF(ResultadosObtidos!I37=ResultadosObtidos!$C37,"} \\ "," \\ ")))</f>
        <v/>
      </c>
      <c r="U40" s="28"/>
      <c r="V40" s="28"/>
      <c r="W40" s="28"/>
      <c r="X40" s="28"/>
      <c r="Y40" s="28"/>
      <c r="Z40" s="28"/>
    </row>
    <row r="41" ht="15.75" customHeight="1">
      <c r="A41" s="28"/>
      <c r="B41" s="33" t="str">
        <f t="shared" si="2"/>
        <v>LINHA VAZIA OU ERRO EM ALGUMA COLUNA</v>
      </c>
      <c r="C41" s="28"/>
      <c r="D41" s="28"/>
      <c r="E41" s="28" t="str">
        <f>ResultadosObtidos!B38</f>
        <v/>
      </c>
      <c r="F41" s="28" t="str">
        <f>IFERROR(IF(DesvioPercentual!C38&lt;&gt;"",SUBSTITUTE(TEXT(DesvioPercentual!C38,$F$2),".",","),""),"")</f>
        <v/>
      </c>
      <c r="G41" s="28" t="str">
        <f>IFERROR(IF(DesvioPercentual!D38&lt;&gt;"",SUBSTITUTE(TEXT(DesvioPercentual!D38,$F$3),".",","),""),"")</f>
        <v/>
      </c>
      <c r="H41" s="28" t="str">
        <f>IFERROR(IF(DesvioPercentual!E38&lt;&gt;"",SUBSTITUTE(TEXT(DesvioPercentual!E38,$F$3),".",","),""),"")</f>
        <v/>
      </c>
      <c r="I41" s="28" t="str">
        <f>IFERROR(IF(DesvioPercentual!F38&lt;&gt;"",SUBSTITUTE(TEXT(DesvioPercentual!F38,$F$3),".",","),""),"")</f>
        <v/>
      </c>
      <c r="J41" s="28" t="str">
        <f>IFERROR(IF(DesvioPercentual!G38&lt;&gt;"",SUBSTITUTE(TEXT(DesvioPercentual!G38,$F$3),".",","),""),"")</f>
        <v/>
      </c>
      <c r="K41" s="28" t="str">
        <f>IFERROR(IF(DesvioPercentual!H38&lt;&gt;"",SUBSTITUTE(TEXT(DesvioPercentual!H38,$F$3),".",","),""),"")</f>
        <v/>
      </c>
      <c r="L41" s="28" t="str">
        <f>IFERROR(IF(DesvioPercentual!I38&lt;&gt;"",SUBSTITUTE(TEXT(DesvioPercentual!I38,$F$3),".",","),""),"")</f>
        <v/>
      </c>
      <c r="M41" s="28"/>
      <c r="N41" s="28" t="str">
        <f t="shared" si="3"/>
        <v> &amp; </v>
      </c>
      <c r="O41" s="28" t="str">
        <f>IF(G41="","",CONCATENATE(IF(ResultadosObtidos!D38=ResultadosObtidos!$C38,"\textbf{",""),G41," \% ",IF(ResultadosObtidos!D38=ResultadosObtidos!$C38,"} &amp; "," &amp; ")))</f>
        <v/>
      </c>
      <c r="P41" s="28" t="str">
        <f>IF(H41="","",CONCATENATE(IF(ResultadosObtidos!E38=ResultadosObtidos!$C38,"\textbf{",""),H41," \% ",IF(ResultadosObtidos!E38=ResultadosObtidos!$C38,"} &amp; "," &amp; ")))</f>
        <v/>
      </c>
      <c r="Q41" s="28" t="str">
        <f>IF(I41="","",CONCATENATE(IF(ResultadosObtidos!F38=ResultadosObtidos!$C38,"\textbf{",""),I41," \% ",IF(ResultadosObtidos!F38=ResultadosObtidos!$C38,"} &amp; "," &amp; ")))</f>
        <v/>
      </c>
      <c r="R41" s="28" t="str">
        <f>IF(J41="","",CONCATENATE(IF(ResultadosObtidos!G38=ResultadosObtidos!$C38,"\textbf{",""),J41," \% ",IF(ResultadosObtidos!G38=ResultadosObtidos!$C38,"} &amp; "," &amp; ")))</f>
        <v/>
      </c>
      <c r="S41" s="28" t="str">
        <f>IF(K41="","",CONCATENATE(IF(ResultadosObtidos!H38=ResultadosObtidos!$C38,"\textbf{",""),K41," \% ",IF(ResultadosObtidos!H38=ResultadosObtidos!$C38,"} &amp; "," &amp; ")))</f>
        <v/>
      </c>
      <c r="T41" s="28" t="str">
        <f>IF(L41="","",CONCATENATE(IF(ResultadosObtidos!I38=ResultadosObtidos!$C38,"\textbf{",""),L41," \% ",IF(ResultadosObtidos!I38=ResultadosObtidos!$C38,"} \\ "," \\ ")))</f>
        <v/>
      </c>
      <c r="U41" s="28"/>
      <c r="V41" s="28"/>
      <c r="W41" s="28"/>
      <c r="X41" s="28"/>
      <c r="Y41" s="28"/>
      <c r="Z41" s="28"/>
    </row>
    <row r="42" ht="15.75" customHeight="1">
      <c r="A42" s="28"/>
      <c r="B42" s="33" t="str">
        <f t="shared" si="2"/>
        <v>LINHA VAZIA OU ERRO EM ALGUMA COLUNA</v>
      </c>
      <c r="C42" s="28"/>
      <c r="D42" s="28"/>
      <c r="E42" s="28" t="str">
        <f>ResultadosObtidos!B39</f>
        <v/>
      </c>
      <c r="F42" s="28" t="str">
        <f>IFERROR(IF(DesvioPercentual!C39&lt;&gt;"",SUBSTITUTE(TEXT(DesvioPercentual!C39,$F$2),".",","),""),"")</f>
        <v/>
      </c>
      <c r="G42" s="28" t="str">
        <f>IFERROR(IF(DesvioPercentual!D39&lt;&gt;"",SUBSTITUTE(TEXT(DesvioPercentual!D39,$F$3),".",","),""),"")</f>
        <v/>
      </c>
      <c r="H42" s="28" t="str">
        <f>IFERROR(IF(DesvioPercentual!E39&lt;&gt;"",SUBSTITUTE(TEXT(DesvioPercentual!E39,$F$3),".",","),""),"")</f>
        <v/>
      </c>
      <c r="I42" s="28" t="str">
        <f>IFERROR(IF(DesvioPercentual!F39&lt;&gt;"",SUBSTITUTE(TEXT(DesvioPercentual!F39,$F$3),".",","),""),"")</f>
        <v/>
      </c>
      <c r="J42" s="28" t="str">
        <f>IFERROR(IF(DesvioPercentual!G39&lt;&gt;"",SUBSTITUTE(TEXT(DesvioPercentual!G39,$F$3),".",","),""),"")</f>
        <v/>
      </c>
      <c r="K42" s="28" t="str">
        <f>IFERROR(IF(DesvioPercentual!H39&lt;&gt;"",SUBSTITUTE(TEXT(DesvioPercentual!H39,$F$3),".",","),""),"")</f>
        <v/>
      </c>
      <c r="L42" s="28" t="str">
        <f>IFERROR(IF(DesvioPercentual!I39&lt;&gt;"",SUBSTITUTE(TEXT(DesvioPercentual!I39,$F$3),".",","),""),"")</f>
        <v/>
      </c>
      <c r="M42" s="28"/>
      <c r="N42" s="28" t="str">
        <f t="shared" si="3"/>
        <v> &amp; </v>
      </c>
      <c r="O42" s="28" t="str">
        <f>IF(G42="","",CONCATENATE(IF(ResultadosObtidos!D39=ResultadosObtidos!$C39,"\textbf{",""),G42," \% ",IF(ResultadosObtidos!D39=ResultadosObtidos!$C39,"} &amp; "," &amp; ")))</f>
        <v/>
      </c>
      <c r="P42" s="28" t="str">
        <f>IF(H42="","",CONCATENATE(IF(ResultadosObtidos!E39=ResultadosObtidos!$C39,"\textbf{",""),H42," \% ",IF(ResultadosObtidos!E39=ResultadosObtidos!$C39,"} &amp; "," &amp; ")))</f>
        <v/>
      </c>
      <c r="Q42" s="28" t="str">
        <f>IF(I42="","",CONCATENATE(IF(ResultadosObtidos!F39=ResultadosObtidos!$C39,"\textbf{",""),I42," \% ",IF(ResultadosObtidos!F39=ResultadosObtidos!$C39,"} &amp; "," &amp; ")))</f>
        <v/>
      </c>
      <c r="R42" s="28" t="str">
        <f>IF(J42="","",CONCATENATE(IF(ResultadosObtidos!G39=ResultadosObtidos!$C39,"\textbf{",""),J42," \% ",IF(ResultadosObtidos!G39=ResultadosObtidos!$C39,"} &amp; "," &amp; ")))</f>
        <v/>
      </c>
      <c r="S42" s="28" t="str">
        <f>IF(K42="","",CONCATENATE(IF(ResultadosObtidos!H39=ResultadosObtidos!$C39,"\textbf{",""),K42," \% ",IF(ResultadosObtidos!H39=ResultadosObtidos!$C39,"} &amp; "," &amp; ")))</f>
        <v/>
      </c>
      <c r="T42" s="28" t="str">
        <f>IF(L42="","",CONCATENATE(IF(ResultadosObtidos!I39=ResultadosObtidos!$C39,"\textbf{",""),L42," \% ",IF(ResultadosObtidos!I39=ResultadosObtidos!$C39,"} \\ "," \\ ")))</f>
        <v/>
      </c>
      <c r="U42" s="28"/>
      <c r="V42" s="28"/>
      <c r="W42" s="28"/>
      <c r="X42" s="28"/>
      <c r="Y42" s="28"/>
      <c r="Z42" s="28"/>
    </row>
    <row r="43" ht="15.75" customHeight="1">
      <c r="A43" s="28"/>
      <c r="B43" s="33" t="str">
        <f t="shared" si="2"/>
        <v>LINHA VAZIA OU ERRO EM ALGUMA COLUNA</v>
      </c>
      <c r="C43" s="28"/>
      <c r="D43" s="28"/>
      <c r="E43" s="28" t="str">
        <f>ResultadosObtidos!B40</f>
        <v/>
      </c>
      <c r="F43" s="28" t="str">
        <f>IFERROR(IF(DesvioPercentual!C40&lt;&gt;"",SUBSTITUTE(TEXT(DesvioPercentual!C40,$F$2),".",","),""),"")</f>
        <v/>
      </c>
      <c r="G43" s="28" t="str">
        <f>IFERROR(IF(DesvioPercentual!D40&lt;&gt;"",SUBSTITUTE(TEXT(DesvioPercentual!D40,$F$3),".",","),""),"")</f>
        <v/>
      </c>
      <c r="H43" s="28" t="str">
        <f>IFERROR(IF(DesvioPercentual!E40&lt;&gt;"",SUBSTITUTE(TEXT(DesvioPercentual!E40,$F$3),".",","),""),"")</f>
        <v/>
      </c>
      <c r="I43" s="28" t="str">
        <f>IFERROR(IF(DesvioPercentual!F40&lt;&gt;"",SUBSTITUTE(TEXT(DesvioPercentual!F40,$F$3),".",","),""),"")</f>
        <v/>
      </c>
      <c r="J43" s="28" t="str">
        <f>IFERROR(IF(DesvioPercentual!G40&lt;&gt;"",SUBSTITUTE(TEXT(DesvioPercentual!G40,$F$3),".",","),""),"")</f>
        <v/>
      </c>
      <c r="K43" s="28" t="str">
        <f>IFERROR(IF(DesvioPercentual!H40&lt;&gt;"",SUBSTITUTE(TEXT(DesvioPercentual!H40,$F$3),".",","),""),"")</f>
        <v/>
      </c>
      <c r="L43" s="28" t="str">
        <f>IFERROR(IF(DesvioPercentual!I40&lt;&gt;"",SUBSTITUTE(TEXT(DesvioPercentual!I40,$F$3),".",","),""),"")</f>
        <v/>
      </c>
      <c r="M43" s="28"/>
      <c r="N43" s="28" t="str">
        <f t="shared" si="3"/>
        <v> &amp; </v>
      </c>
      <c r="O43" s="28" t="str">
        <f>IF(G43="","",CONCATENATE(IF(ResultadosObtidos!D40=ResultadosObtidos!$C40,"\textbf{",""),G43," \% ",IF(ResultadosObtidos!D40=ResultadosObtidos!$C40,"} &amp; "," &amp; ")))</f>
        <v/>
      </c>
      <c r="P43" s="28" t="str">
        <f>IF(H43="","",CONCATENATE(IF(ResultadosObtidos!E40=ResultadosObtidos!$C40,"\textbf{",""),H43," \% ",IF(ResultadosObtidos!E40=ResultadosObtidos!$C40,"} &amp; "," &amp; ")))</f>
        <v/>
      </c>
      <c r="Q43" s="28" t="str">
        <f>IF(I43="","",CONCATENATE(IF(ResultadosObtidos!F40=ResultadosObtidos!$C40,"\textbf{",""),I43," \% ",IF(ResultadosObtidos!F40=ResultadosObtidos!$C40,"} &amp; "," &amp; ")))</f>
        <v/>
      </c>
      <c r="R43" s="28" t="str">
        <f>IF(J43="","",CONCATENATE(IF(ResultadosObtidos!G40=ResultadosObtidos!$C40,"\textbf{",""),J43," \% ",IF(ResultadosObtidos!G40=ResultadosObtidos!$C40,"} &amp; "," &amp; ")))</f>
        <v/>
      </c>
      <c r="S43" s="28" t="str">
        <f>IF(K43="","",CONCATENATE(IF(ResultadosObtidos!H40=ResultadosObtidos!$C40,"\textbf{",""),K43," \% ",IF(ResultadosObtidos!H40=ResultadosObtidos!$C40,"} &amp; "," &amp; ")))</f>
        <v/>
      </c>
      <c r="T43" s="28" t="str">
        <f>IF(L43="","",CONCATENATE(IF(ResultadosObtidos!I40=ResultadosObtidos!$C40,"\textbf{",""),L43," \% ",IF(ResultadosObtidos!I40=ResultadosObtidos!$C40,"} \\ "," \\ ")))</f>
        <v/>
      </c>
      <c r="U43" s="28"/>
      <c r="V43" s="28"/>
      <c r="W43" s="28"/>
      <c r="X43" s="28"/>
      <c r="Y43" s="28"/>
      <c r="Z43" s="28"/>
    </row>
    <row r="44" ht="15.75" customHeight="1">
      <c r="A44" s="28"/>
      <c r="B44" s="33" t="str">
        <f t="shared" si="2"/>
        <v>LINHA VAZIA OU ERRO EM ALGUMA COLUNA</v>
      </c>
      <c r="C44" s="28"/>
      <c r="D44" s="28"/>
      <c r="E44" s="28" t="str">
        <f>ResultadosObtidos!B41</f>
        <v/>
      </c>
      <c r="F44" s="28" t="str">
        <f>IFERROR(IF(DesvioPercentual!C41&lt;&gt;"",SUBSTITUTE(TEXT(DesvioPercentual!C41,$F$2),".",","),""),"")</f>
        <v/>
      </c>
      <c r="G44" s="28" t="str">
        <f>IFERROR(IF(DesvioPercentual!D41&lt;&gt;"",SUBSTITUTE(TEXT(DesvioPercentual!D41,$F$3),".",","),""),"")</f>
        <v/>
      </c>
      <c r="H44" s="28" t="str">
        <f>IFERROR(IF(DesvioPercentual!E41&lt;&gt;"",SUBSTITUTE(TEXT(DesvioPercentual!E41,$F$3),".",","),""),"")</f>
        <v/>
      </c>
      <c r="I44" s="28" t="str">
        <f>IFERROR(IF(DesvioPercentual!F41&lt;&gt;"",SUBSTITUTE(TEXT(DesvioPercentual!F41,$F$3),".",","),""),"")</f>
        <v/>
      </c>
      <c r="J44" s="28" t="str">
        <f>IFERROR(IF(DesvioPercentual!G41&lt;&gt;"",SUBSTITUTE(TEXT(DesvioPercentual!G41,$F$3),".",","),""),"")</f>
        <v/>
      </c>
      <c r="K44" s="28" t="str">
        <f>IFERROR(IF(DesvioPercentual!H41&lt;&gt;"",SUBSTITUTE(TEXT(DesvioPercentual!H41,$F$3),".",","),""),"")</f>
        <v/>
      </c>
      <c r="L44" s="28" t="str">
        <f>IFERROR(IF(DesvioPercentual!I41&lt;&gt;"",SUBSTITUTE(TEXT(DesvioPercentual!I41,$F$3),".",","),""),"")</f>
        <v/>
      </c>
      <c r="M44" s="28"/>
      <c r="N44" s="28" t="str">
        <f t="shared" si="3"/>
        <v> &amp; </v>
      </c>
      <c r="O44" s="28" t="str">
        <f>IF(G44="","",CONCATENATE(IF(ResultadosObtidos!D41=ResultadosObtidos!$C41,"\textbf{",""),G44," \% ",IF(ResultadosObtidos!D41=ResultadosObtidos!$C41,"} &amp; "," &amp; ")))</f>
        <v/>
      </c>
      <c r="P44" s="28" t="str">
        <f>IF(H44="","",CONCATENATE(IF(ResultadosObtidos!E41=ResultadosObtidos!$C41,"\textbf{",""),H44," \% ",IF(ResultadosObtidos!E41=ResultadosObtidos!$C41,"} &amp; "," &amp; ")))</f>
        <v/>
      </c>
      <c r="Q44" s="28" t="str">
        <f>IF(I44="","",CONCATENATE(IF(ResultadosObtidos!F41=ResultadosObtidos!$C41,"\textbf{",""),I44," \% ",IF(ResultadosObtidos!F41=ResultadosObtidos!$C41,"} &amp; "," &amp; ")))</f>
        <v/>
      </c>
      <c r="R44" s="28" t="str">
        <f>IF(J44="","",CONCATENATE(IF(ResultadosObtidos!G41=ResultadosObtidos!$C41,"\textbf{",""),J44," \% ",IF(ResultadosObtidos!G41=ResultadosObtidos!$C41,"} &amp; "," &amp; ")))</f>
        <v/>
      </c>
      <c r="S44" s="28" t="str">
        <f>IF(K44="","",CONCATENATE(IF(ResultadosObtidos!H41=ResultadosObtidos!$C41,"\textbf{",""),K44," \% ",IF(ResultadosObtidos!H41=ResultadosObtidos!$C41,"} &amp; "," &amp; ")))</f>
        <v/>
      </c>
      <c r="T44" s="28" t="str">
        <f>IF(L44="","",CONCATENATE(IF(ResultadosObtidos!I41=ResultadosObtidos!$C41,"\textbf{",""),L44," \% ",IF(ResultadosObtidos!I41=ResultadosObtidos!$C41,"} \\ "," \\ ")))</f>
        <v/>
      </c>
      <c r="U44" s="28"/>
      <c r="V44" s="28"/>
      <c r="W44" s="28"/>
      <c r="X44" s="28"/>
      <c r="Y44" s="28"/>
      <c r="Z44" s="28"/>
    </row>
    <row r="45" ht="15.75" customHeight="1">
      <c r="A45" s="28"/>
      <c r="B45" s="33" t="str">
        <f t="shared" si="2"/>
        <v>LINHA VAZIA OU ERRO EM ALGUMA COLUNA</v>
      </c>
      <c r="C45" s="28"/>
      <c r="D45" s="28"/>
      <c r="E45" s="28" t="str">
        <f>ResultadosObtidos!B42</f>
        <v/>
      </c>
      <c r="F45" s="28" t="str">
        <f>IFERROR(IF(DesvioPercentual!C42&lt;&gt;"",SUBSTITUTE(TEXT(DesvioPercentual!C42,$F$2),".",","),""),"")</f>
        <v/>
      </c>
      <c r="G45" s="28" t="str">
        <f>IFERROR(IF(DesvioPercentual!D42&lt;&gt;"",SUBSTITUTE(TEXT(DesvioPercentual!D42,$F$3),".",","),""),"")</f>
        <v/>
      </c>
      <c r="H45" s="28" t="str">
        <f>IFERROR(IF(DesvioPercentual!E42&lt;&gt;"",SUBSTITUTE(TEXT(DesvioPercentual!E42,$F$3),".",","),""),"")</f>
        <v/>
      </c>
      <c r="I45" s="28" t="str">
        <f>IFERROR(IF(DesvioPercentual!F42&lt;&gt;"",SUBSTITUTE(TEXT(DesvioPercentual!F42,$F$3),".",","),""),"")</f>
        <v/>
      </c>
      <c r="J45" s="28" t="str">
        <f>IFERROR(IF(DesvioPercentual!G42&lt;&gt;"",SUBSTITUTE(TEXT(DesvioPercentual!G42,$F$3),".",","),""),"")</f>
        <v/>
      </c>
      <c r="K45" s="28" t="str">
        <f>IFERROR(IF(DesvioPercentual!H42&lt;&gt;"",SUBSTITUTE(TEXT(DesvioPercentual!H42,$F$3),".",","),""),"")</f>
        <v/>
      </c>
      <c r="L45" s="28" t="str">
        <f>IFERROR(IF(DesvioPercentual!I42&lt;&gt;"",SUBSTITUTE(TEXT(DesvioPercentual!I42,$F$3),".",","),""),"")</f>
        <v/>
      </c>
      <c r="M45" s="28"/>
      <c r="N45" s="28" t="str">
        <f t="shared" si="3"/>
        <v> &amp; </v>
      </c>
      <c r="O45" s="28" t="str">
        <f>IF(G45="","",CONCATENATE(IF(ResultadosObtidos!D42=ResultadosObtidos!$C42,"\textbf{",""),G45," \% ",IF(ResultadosObtidos!D42=ResultadosObtidos!$C42,"} &amp; "," &amp; ")))</f>
        <v/>
      </c>
      <c r="P45" s="28" t="str">
        <f>IF(H45="","",CONCATENATE(IF(ResultadosObtidos!E42=ResultadosObtidos!$C42,"\textbf{",""),H45," \% ",IF(ResultadosObtidos!E42=ResultadosObtidos!$C42,"} &amp; "," &amp; ")))</f>
        <v/>
      </c>
      <c r="Q45" s="28" t="str">
        <f>IF(I45="","",CONCATENATE(IF(ResultadosObtidos!F42=ResultadosObtidos!$C42,"\textbf{",""),I45," \% ",IF(ResultadosObtidos!F42=ResultadosObtidos!$C42,"} &amp; "," &amp; ")))</f>
        <v/>
      </c>
      <c r="R45" s="28" t="str">
        <f>IF(J45="","",CONCATENATE(IF(ResultadosObtidos!G42=ResultadosObtidos!$C42,"\textbf{",""),J45," \% ",IF(ResultadosObtidos!G42=ResultadosObtidos!$C42,"} &amp; "," &amp; ")))</f>
        <v/>
      </c>
      <c r="S45" s="28" t="str">
        <f>IF(K45="","",CONCATENATE(IF(ResultadosObtidos!H42=ResultadosObtidos!$C42,"\textbf{",""),K45," \% ",IF(ResultadosObtidos!H42=ResultadosObtidos!$C42,"} &amp; "," &amp; ")))</f>
        <v/>
      </c>
      <c r="T45" s="28" t="str">
        <f>IF(L45="","",CONCATENATE(IF(ResultadosObtidos!I42=ResultadosObtidos!$C42,"\textbf{",""),L45," \% ",IF(ResultadosObtidos!I42=ResultadosObtidos!$C42,"} \\ "," \\ ")))</f>
        <v/>
      </c>
      <c r="U45" s="28"/>
      <c r="V45" s="28"/>
      <c r="W45" s="28"/>
      <c r="X45" s="28"/>
      <c r="Y45" s="28"/>
      <c r="Z45" s="28"/>
    </row>
    <row r="46" ht="15.75" customHeight="1">
      <c r="A46" s="36"/>
      <c r="C46" s="28"/>
      <c r="D46" s="28"/>
      <c r="E46" s="28" t="str">
        <f>ResultadosObtidos!B43</f>
        <v/>
      </c>
      <c r="F46" s="28" t="str">
        <f>IFERROR(IF(DesvioPercentual!C43&lt;&gt;"",SUBSTITUTE(TEXT(DesvioPercentual!C43,$F$2),".",","),""),"")</f>
        <v/>
      </c>
      <c r="G46" s="28" t="str">
        <f>IFERROR(IF(DesvioPercentual!D43&lt;&gt;"",SUBSTITUTE(TEXT(DesvioPercentual!D43,$F$3),".",","),""),"")</f>
        <v/>
      </c>
      <c r="H46" s="28" t="str">
        <f>IFERROR(IF(DesvioPercentual!E43&lt;&gt;"",SUBSTITUTE(TEXT(DesvioPercentual!E43,$F$3),".",","),""),"")</f>
        <v/>
      </c>
      <c r="I46" s="28" t="str">
        <f>IFERROR(IF(DesvioPercentual!F43&lt;&gt;"",SUBSTITUTE(TEXT(DesvioPercentual!F43,$F$3),".",","),""),"")</f>
        <v/>
      </c>
      <c r="J46" s="28" t="str">
        <f>IFERROR(IF(DesvioPercentual!G43&lt;&gt;"",SUBSTITUTE(TEXT(DesvioPercentual!G43,$F$3),".",","),""),"")</f>
        <v/>
      </c>
      <c r="K46" s="28" t="str">
        <f>IFERROR(IF(DesvioPercentual!H43&lt;&gt;"",SUBSTITUTE(TEXT(DesvioPercentual!H43,$F$3),".",","),""),"")</f>
        <v/>
      </c>
      <c r="L46" s="28" t="str">
        <f>IFERROR(IF(DesvioPercentual!I43&lt;&gt;"",SUBSTITUTE(TEXT(DesvioPercentual!I43,$F$3),".",","),""),"")</f>
        <v/>
      </c>
      <c r="M46" s="28"/>
      <c r="N46" s="28" t="str">
        <f t="shared" si="3"/>
        <v> &amp; </v>
      </c>
      <c r="O46" s="28" t="str">
        <f>IF(G46="","",CONCATENATE(IF(ResultadosObtidos!D43=ResultadosObtidos!$C43,"\textbf{",""),G46," \% ",IF(ResultadosObtidos!D43=ResultadosObtidos!$C43,"} &amp; "," &amp; ")))</f>
        <v/>
      </c>
      <c r="P46" s="28" t="str">
        <f>IF(H46="","",CONCATENATE(IF(ResultadosObtidos!E43=ResultadosObtidos!$C43,"\textbf{",""),H46," \% ",IF(ResultadosObtidos!E43=ResultadosObtidos!$C43,"} &amp; "," &amp; ")))</f>
        <v/>
      </c>
      <c r="Q46" s="28" t="str">
        <f>IF(I46="","",CONCATENATE(IF(ResultadosObtidos!F43=ResultadosObtidos!$C43,"\textbf{",""),I46," \% ",IF(ResultadosObtidos!F43=ResultadosObtidos!$C43,"} &amp; "," &amp; ")))</f>
        <v/>
      </c>
      <c r="R46" s="28" t="str">
        <f>IF(J46="","",CONCATENATE(IF(ResultadosObtidos!G43=ResultadosObtidos!$C43,"\textbf{",""),J46," \% ",IF(ResultadosObtidos!G43=ResultadosObtidos!$C43,"} &amp; "," &amp; ")))</f>
        <v/>
      </c>
      <c r="S46" s="28" t="str">
        <f>IF(K46="","",CONCATENATE(IF(ResultadosObtidos!H43=ResultadosObtidos!$C43,"\textbf{",""),K46," \% ",IF(ResultadosObtidos!H43=ResultadosObtidos!$C43,"} &amp; "," &amp; ")))</f>
        <v/>
      </c>
      <c r="T46" s="28" t="str">
        <f>IF(L46="","",CONCATENATE(IF(ResultadosObtidos!I43=ResultadosObtidos!$C43,"\textbf{",""),L46," \% ",IF(ResultadosObtidos!I43=ResultadosObtidos!$C43,"} \\ "," \\ ")))</f>
        <v/>
      </c>
      <c r="U46" s="28"/>
      <c r="V46" s="28"/>
      <c r="W46" s="28"/>
      <c r="X46" s="28"/>
      <c r="Y46" s="28"/>
      <c r="Z46" s="28"/>
    </row>
    <row r="47" ht="15.75" customHeight="1">
      <c r="A47" s="36"/>
      <c r="C47" s="28"/>
      <c r="D47" s="28"/>
      <c r="E47" s="28" t="str">
        <f>ResultadosObtidos!B44</f>
        <v/>
      </c>
      <c r="F47" s="28" t="str">
        <f>IFERROR(IF(DesvioPercentual!C44&lt;&gt;"",SUBSTITUTE(TEXT(DesvioPercentual!C44,$F$2),".",","),""),"")</f>
        <v/>
      </c>
      <c r="G47" s="28" t="str">
        <f>IFERROR(IF(DesvioPercentual!D44&lt;&gt;"",SUBSTITUTE(TEXT(DesvioPercentual!D44,$F$3),".",","),""),"")</f>
        <v/>
      </c>
      <c r="H47" s="28" t="str">
        <f>IFERROR(IF(DesvioPercentual!E44&lt;&gt;"",SUBSTITUTE(TEXT(DesvioPercentual!E44,$F$3),".",","),""),"")</f>
        <v/>
      </c>
      <c r="I47" s="28" t="str">
        <f>IFERROR(IF(DesvioPercentual!F44&lt;&gt;"",SUBSTITUTE(TEXT(DesvioPercentual!F44,$F$3),".",","),""),"")</f>
        <v/>
      </c>
      <c r="J47" s="28" t="str">
        <f>IFERROR(IF(DesvioPercentual!G44&lt;&gt;"",SUBSTITUTE(TEXT(DesvioPercentual!G44,$F$3),".",","),""),"")</f>
        <v/>
      </c>
      <c r="K47" s="28" t="str">
        <f>IFERROR(IF(DesvioPercentual!H44&lt;&gt;"",SUBSTITUTE(TEXT(DesvioPercentual!H44,$F$3),".",","),""),"")</f>
        <v/>
      </c>
      <c r="L47" s="28" t="str">
        <f>IFERROR(IF(DesvioPercentual!I44&lt;&gt;"",SUBSTITUTE(TEXT(DesvioPercentual!I44,$F$3),".",","),""),"")</f>
        <v/>
      </c>
      <c r="M47" s="28"/>
      <c r="N47" s="28" t="str">
        <f t="shared" si="3"/>
        <v> &amp; </v>
      </c>
      <c r="O47" s="28" t="str">
        <f>IF(G47="","",CONCATENATE(IF(ResultadosObtidos!D44=ResultadosObtidos!$C44,"\textbf{",""),G47," \% ",IF(ResultadosObtidos!D44=ResultadosObtidos!$C44,"} &amp; "," &amp; ")))</f>
        <v/>
      </c>
      <c r="P47" s="28" t="str">
        <f>IF(H47="","",CONCATENATE(IF(ResultadosObtidos!E44=ResultadosObtidos!$C44,"\textbf{",""),H47," \% ",IF(ResultadosObtidos!E44=ResultadosObtidos!$C44,"} &amp; "," &amp; ")))</f>
        <v/>
      </c>
      <c r="Q47" s="28" t="str">
        <f>IF(I47="","",CONCATENATE(IF(ResultadosObtidos!F44=ResultadosObtidos!$C44,"\textbf{",""),I47," \% ",IF(ResultadosObtidos!F44=ResultadosObtidos!$C44,"} &amp; "," &amp; ")))</f>
        <v/>
      </c>
      <c r="R47" s="28" t="str">
        <f>IF(J47="","",CONCATENATE(IF(ResultadosObtidos!G44=ResultadosObtidos!$C44,"\textbf{",""),J47," \% ",IF(ResultadosObtidos!G44=ResultadosObtidos!$C44,"} &amp; "," &amp; ")))</f>
        <v/>
      </c>
      <c r="S47" s="28" t="str">
        <f>IF(K47="","",CONCATENATE(IF(ResultadosObtidos!H44=ResultadosObtidos!$C44,"\textbf{",""),K47," \% ",IF(ResultadosObtidos!H44=ResultadosObtidos!$C44,"} &amp; "," &amp; ")))</f>
        <v/>
      </c>
      <c r="T47" s="28" t="str">
        <f>IF(L47="","",CONCATENATE(IF(ResultadosObtidos!I44=ResultadosObtidos!$C44,"\textbf{",""),L47," \% ",IF(ResultadosObtidos!I44=ResultadosObtidos!$C44,"} \\ "," \\ ")))</f>
        <v/>
      </c>
      <c r="U47" s="28"/>
      <c r="V47" s="28"/>
      <c r="W47" s="28"/>
      <c r="X47" s="28"/>
      <c r="Y47" s="28"/>
      <c r="Z47" s="28"/>
    </row>
    <row r="48" ht="15.75" customHeight="1">
      <c r="A48" s="36"/>
      <c r="C48" s="28"/>
      <c r="D48" s="28"/>
      <c r="E48" s="28" t="str">
        <f>ResultadosObtidos!B45</f>
        <v/>
      </c>
      <c r="F48" s="28" t="str">
        <f>IFERROR(IF(DesvioPercentual!C45&lt;&gt;"",SUBSTITUTE(TEXT(DesvioPercentual!C45,$F$2),".",","),""),"")</f>
        <v/>
      </c>
      <c r="G48" s="28" t="str">
        <f>IFERROR(IF(DesvioPercentual!D45&lt;&gt;"",SUBSTITUTE(TEXT(DesvioPercentual!D45,$F$3),".",","),""),"")</f>
        <v/>
      </c>
      <c r="H48" s="28" t="str">
        <f>IFERROR(IF(DesvioPercentual!E45&lt;&gt;"",SUBSTITUTE(TEXT(DesvioPercentual!E45,$F$3),".",","),""),"")</f>
        <v/>
      </c>
      <c r="I48" s="28" t="str">
        <f>IFERROR(IF(DesvioPercentual!F45&lt;&gt;"",SUBSTITUTE(TEXT(DesvioPercentual!F45,$F$3),".",","),""),"")</f>
        <v/>
      </c>
      <c r="J48" s="28" t="str">
        <f>IFERROR(IF(DesvioPercentual!G45&lt;&gt;"",SUBSTITUTE(TEXT(DesvioPercentual!G45,$F$3),".",","),""),"")</f>
        <v/>
      </c>
      <c r="K48" s="28" t="str">
        <f>IFERROR(IF(DesvioPercentual!H45&lt;&gt;"",SUBSTITUTE(TEXT(DesvioPercentual!H45,$F$3),".",","),""),"")</f>
        <v/>
      </c>
      <c r="L48" s="28" t="str">
        <f>IFERROR(IF(DesvioPercentual!I45&lt;&gt;"",SUBSTITUTE(TEXT(DesvioPercentual!I45,$F$3),".",","),""),"")</f>
        <v/>
      </c>
      <c r="M48" s="28"/>
      <c r="N48" s="28" t="str">
        <f t="shared" si="3"/>
        <v> &amp; </v>
      </c>
      <c r="O48" s="28" t="str">
        <f>IF(G48="","",CONCATENATE(IF(ResultadosObtidos!D45=ResultadosObtidos!$C45,"\textbf{",""),G48," \% ",IF(ResultadosObtidos!D45=ResultadosObtidos!$C45,"} &amp; "," &amp; ")))</f>
        <v/>
      </c>
      <c r="P48" s="28" t="str">
        <f>IF(H48="","",CONCATENATE(IF(ResultadosObtidos!E45=ResultadosObtidos!$C45,"\textbf{",""),H48," \% ",IF(ResultadosObtidos!E45=ResultadosObtidos!$C45,"} &amp; "," &amp; ")))</f>
        <v/>
      </c>
      <c r="Q48" s="28" t="str">
        <f>IF(I48="","",CONCATENATE(IF(ResultadosObtidos!F45=ResultadosObtidos!$C45,"\textbf{",""),I48," \% ",IF(ResultadosObtidos!F45=ResultadosObtidos!$C45,"} &amp; "," &amp; ")))</f>
        <v/>
      </c>
      <c r="R48" s="28" t="str">
        <f>IF(J48="","",CONCATENATE(IF(ResultadosObtidos!G45=ResultadosObtidos!$C45,"\textbf{",""),J48," \% ",IF(ResultadosObtidos!G45=ResultadosObtidos!$C45,"} &amp; "," &amp; ")))</f>
        <v/>
      </c>
      <c r="S48" s="28" t="str">
        <f>IF(K48="","",CONCATENATE(IF(ResultadosObtidos!H45=ResultadosObtidos!$C45,"\textbf{",""),K48," \% ",IF(ResultadosObtidos!H45=ResultadosObtidos!$C45,"} &amp; "," &amp; ")))</f>
        <v/>
      </c>
      <c r="T48" s="28" t="str">
        <f>IF(L48="","",CONCATENATE(IF(ResultadosObtidos!I45=ResultadosObtidos!$C45,"\textbf{",""),L48," \% ",IF(ResultadosObtidos!I45=ResultadosObtidos!$C45,"} \\ "," \\ ")))</f>
        <v/>
      </c>
      <c r="U48" s="28"/>
      <c r="V48" s="28"/>
      <c r="W48" s="28"/>
      <c r="X48" s="28"/>
      <c r="Y48" s="28"/>
      <c r="Z48" s="28"/>
    </row>
    <row r="49" ht="15.75" customHeight="1">
      <c r="A49" s="36"/>
      <c r="C49" s="28"/>
      <c r="D49" s="28"/>
      <c r="E49" s="28" t="str">
        <f>ResultadosObtidos!B46</f>
        <v/>
      </c>
      <c r="F49" s="28" t="str">
        <f>IFERROR(IF(DesvioPercentual!C46&lt;&gt;"",SUBSTITUTE(TEXT(DesvioPercentual!C46,$F$2),".",","),""),"")</f>
        <v/>
      </c>
      <c r="G49" s="28" t="str">
        <f>IFERROR(IF(DesvioPercentual!D46&lt;&gt;"",SUBSTITUTE(TEXT(DesvioPercentual!D46,$F$3),".",","),""),"")</f>
        <v/>
      </c>
      <c r="H49" s="28" t="str">
        <f>IFERROR(IF(DesvioPercentual!E46&lt;&gt;"",SUBSTITUTE(TEXT(DesvioPercentual!E46,$F$3),".",","),""),"")</f>
        <v/>
      </c>
      <c r="I49" s="28" t="str">
        <f>IFERROR(IF(DesvioPercentual!F46&lt;&gt;"",SUBSTITUTE(TEXT(DesvioPercentual!F46,$F$3),".",","),""),"")</f>
        <v/>
      </c>
      <c r="J49" s="28" t="str">
        <f>IFERROR(IF(DesvioPercentual!G46&lt;&gt;"",SUBSTITUTE(TEXT(DesvioPercentual!G46,$F$3),".",","),""),"")</f>
        <v/>
      </c>
      <c r="K49" s="28" t="str">
        <f>IFERROR(IF(DesvioPercentual!H46&lt;&gt;"",SUBSTITUTE(TEXT(DesvioPercentual!H46,$F$3),".",","),""),"")</f>
        <v/>
      </c>
      <c r="L49" s="28" t="str">
        <f>IFERROR(IF(DesvioPercentual!I46&lt;&gt;"",SUBSTITUTE(TEXT(DesvioPercentual!I46,$F$3),".",","),""),"")</f>
        <v/>
      </c>
      <c r="M49" s="28"/>
      <c r="N49" s="28" t="str">
        <f t="shared" si="3"/>
        <v> &amp; </v>
      </c>
      <c r="O49" s="28" t="str">
        <f>IF(G49="","",CONCATENATE(IF(ResultadosObtidos!D46=ResultadosObtidos!$C46,"\textbf{",""),G49," \% ",IF(ResultadosObtidos!D46=ResultadosObtidos!$C46,"} &amp; "," &amp; ")))</f>
        <v/>
      </c>
      <c r="P49" s="28" t="str">
        <f>IF(H49="","",CONCATENATE(IF(ResultadosObtidos!E46=ResultadosObtidos!$C46,"\textbf{",""),H49," \% ",IF(ResultadosObtidos!E46=ResultadosObtidos!$C46,"} &amp; "," &amp; ")))</f>
        <v/>
      </c>
      <c r="Q49" s="28" t="str">
        <f>IF(I49="","",CONCATENATE(IF(ResultadosObtidos!F46=ResultadosObtidos!$C46,"\textbf{",""),I49," \% ",IF(ResultadosObtidos!F46=ResultadosObtidos!$C46,"} &amp; "," &amp; ")))</f>
        <v/>
      </c>
      <c r="R49" s="28" t="str">
        <f>IF(J49="","",CONCATENATE(IF(ResultadosObtidos!G46=ResultadosObtidos!$C46,"\textbf{",""),J49," \% ",IF(ResultadosObtidos!G46=ResultadosObtidos!$C46,"} &amp; "," &amp; ")))</f>
        <v/>
      </c>
      <c r="S49" s="28" t="str">
        <f>IF(K49="","",CONCATENATE(IF(ResultadosObtidos!H46=ResultadosObtidos!$C46,"\textbf{",""),K49," \% ",IF(ResultadosObtidos!H46=ResultadosObtidos!$C46,"} &amp; "," &amp; ")))</f>
        <v/>
      </c>
      <c r="T49" s="28" t="str">
        <f>IF(L49="","",CONCATENATE(IF(ResultadosObtidos!I46=ResultadosObtidos!$C46,"\textbf{",""),L49," \% ",IF(ResultadosObtidos!I46=ResultadosObtidos!$C46,"} \\ "," \\ ")))</f>
        <v/>
      </c>
      <c r="U49" s="28"/>
      <c r="V49" s="28"/>
      <c r="W49" s="28"/>
      <c r="X49" s="28"/>
      <c r="Y49" s="28"/>
      <c r="Z49" s="28"/>
    </row>
    <row r="50" ht="15.75" customHeight="1">
      <c r="A50" s="36"/>
      <c r="C50" s="28"/>
      <c r="D50" s="28"/>
      <c r="E50" s="28" t="str">
        <f>ResultadosObtidos!B47</f>
        <v/>
      </c>
      <c r="F50" s="28" t="str">
        <f>IFERROR(IF(DesvioPercentual!C47&lt;&gt;"",SUBSTITUTE(TEXT(DesvioPercentual!C47,$F$2),".",","),""),"")</f>
        <v/>
      </c>
      <c r="G50" s="28" t="str">
        <f>IFERROR(IF(DesvioPercentual!D47&lt;&gt;"",SUBSTITUTE(TEXT(DesvioPercentual!D47,$F$3),".",","),""),"")</f>
        <v/>
      </c>
      <c r="H50" s="28" t="str">
        <f>IFERROR(IF(DesvioPercentual!E47&lt;&gt;"",SUBSTITUTE(TEXT(DesvioPercentual!E47,$F$3),".",","),""),"")</f>
        <v/>
      </c>
      <c r="I50" s="28" t="str">
        <f>IFERROR(IF(DesvioPercentual!F47&lt;&gt;"",SUBSTITUTE(TEXT(DesvioPercentual!F47,$F$3),".",","),""),"")</f>
        <v/>
      </c>
      <c r="J50" s="28" t="str">
        <f>IFERROR(IF(DesvioPercentual!G47&lt;&gt;"",SUBSTITUTE(TEXT(DesvioPercentual!G47,$F$3),".",","),""),"")</f>
        <v/>
      </c>
      <c r="K50" s="28" t="str">
        <f>IFERROR(IF(DesvioPercentual!H47&lt;&gt;"",SUBSTITUTE(TEXT(DesvioPercentual!H47,$F$3),".",","),""),"")</f>
        <v/>
      </c>
      <c r="L50" s="28" t="str">
        <f>IFERROR(IF(DesvioPercentual!I47&lt;&gt;"",SUBSTITUTE(TEXT(DesvioPercentual!I47,$F$3),".",","),""),"")</f>
        <v/>
      </c>
      <c r="M50" s="28"/>
      <c r="N50" s="28" t="str">
        <f t="shared" si="3"/>
        <v> &amp; </v>
      </c>
      <c r="O50" s="28" t="str">
        <f>IF(G50="","",CONCATENATE(IF(ResultadosObtidos!D47=ResultadosObtidos!$C47,"\textbf{",""),G50," \% ",IF(ResultadosObtidos!D47=ResultadosObtidos!$C47,"} &amp; "," &amp; ")))</f>
        <v/>
      </c>
      <c r="P50" s="28" t="str">
        <f>IF(H50="","",CONCATENATE(IF(ResultadosObtidos!E47=ResultadosObtidos!$C47,"\textbf{",""),H50," \% ",IF(ResultadosObtidos!E47=ResultadosObtidos!$C47,"} &amp; "," &amp; ")))</f>
        <v/>
      </c>
      <c r="Q50" s="28" t="str">
        <f>IF(I50="","",CONCATENATE(IF(ResultadosObtidos!F47=ResultadosObtidos!$C47,"\textbf{",""),I50," \% ",IF(ResultadosObtidos!F47=ResultadosObtidos!$C47,"} &amp; "," &amp; ")))</f>
        <v/>
      </c>
      <c r="R50" s="28" t="str">
        <f>IF(J50="","",CONCATENATE(IF(ResultadosObtidos!G47=ResultadosObtidos!$C47,"\textbf{",""),J50," \% ",IF(ResultadosObtidos!G47=ResultadosObtidos!$C47,"} &amp; "," &amp; ")))</f>
        <v/>
      </c>
      <c r="S50" s="28" t="str">
        <f>IF(K50="","",CONCATENATE(IF(ResultadosObtidos!H47=ResultadosObtidos!$C47,"\textbf{",""),K50," \% ",IF(ResultadosObtidos!H47=ResultadosObtidos!$C47,"} &amp; "," &amp; ")))</f>
        <v/>
      </c>
      <c r="T50" s="28" t="str">
        <f>IF(L50="","",CONCATENATE(IF(ResultadosObtidos!I47=ResultadosObtidos!$C47,"\textbf{",""),L50," \% ",IF(ResultadosObtidos!I47=ResultadosObtidos!$C47,"} \\ "," \\ ")))</f>
        <v/>
      </c>
      <c r="U50" s="28"/>
      <c r="V50" s="28"/>
      <c r="W50" s="28"/>
      <c r="X50" s="28"/>
      <c r="Y50" s="28"/>
      <c r="Z50" s="28"/>
    </row>
    <row r="51" ht="15.75" customHeight="1">
      <c r="A51" s="36"/>
      <c r="C51" s="28"/>
      <c r="D51" s="28"/>
      <c r="E51" s="28" t="str">
        <f>ResultadosObtidos!B48</f>
        <v/>
      </c>
      <c r="F51" s="28" t="str">
        <f>IFERROR(IF(DesvioPercentual!C48&lt;&gt;"",SUBSTITUTE(TEXT(DesvioPercentual!C48,$F$2),".",","),""),"")</f>
        <v/>
      </c>
      <c r="G51" s="28" t="str">
        <f>IFERROR(IF(DesvioPercentual!D48&lt;&gt;"",SUBSTITUTE(TEXT(DesvioPercentual!D48,$F$3),".",","),""),"")</f>
        <v/>
      </c>
      <c r="H51" s="28" t="str">
        <f>IFERROR(IF(DesvioPercentual!E48&lt;&gt;"",SUBSTITUTE(TEXT(DesvioPercentual!E48,$F$3),".",","),""),"")</f>
        <v/>
      </c>
      <c r="I51" s="28" t="str">
        <f>IFERROR(IF(DesvioPercentual!F48&lt;&gt;"",SUBSTITUTE(TEXT(DesvioPercentual!F48,$F$3),".",","),""),"")</f>
        <v/>
      </c>
      <c r="J51" s="28" t="str">
        <f>IFERROR(IF(DesvioPercentual!G48&lt;&gt;"",SUBSTITUTE(TEXT(DesvioPercentual!G48,$F$3),".",","),""),"")</f>
        <v/>
      </c>
      <c r="K51" s="28" t="str">
        <f>IFERROR(IF(DesvioPercentual!H48&lt;&gt;"",SUBSTITUTE(TEXT(DesvioPercentual!H48,$F$3),".",","),""),"")</f>
        <v/>
      </c>
      <c r="L51" s="28" t="str">
        <f>IFERROR(IF(DesvioPercentual!I48&lt;&gt;"",SUBSTITUTE(TEXT(DesvioPercentual!I48,$F$3),".",","),""),"")</f>
        <v/>
      </c>
      <c r="M51" s="28"/>
      <c r="N51" s="28" t="str">
        <f t="shared" si="3"/>
        <v> &amp; </v>
      </c>
      <c r="O51" s="28" t="str">
        <f>IF(G51="","",CONCATENATE(IF(ResultadosObtidos!D48=ResultadosObtidos!$C48,"\textbf{",""),G51," \% ",IF(ResultadosObtidos!D48=ResultadosObtidos!$C48,"} &amp; "," &amp; ")))</f>
        <v/>
      </c>
      <c r="P51" s="28" t="str">
        <f>IF(H51="","",CONCATENATE(IF(ResultadosObtidos!E48=ResultadosObtidos!$C48,"\textbf{",""),H51," \% ",IF(ResultadosObtidos!E48=ResultadosObtidos!$C48,"} &amp; "," &amp; ")))</f>
        <v/>
      </c>
      <c r="Q51" s="28" t="str">
        <f>IF(I51="","",CONCATENATE(IF(ResultadosObtidos!F48=ResultadosObtidos!$C48,"\textbf{",""),I51," \% ",IF(ResultadosObtidos!F48=ResultadosObtidos!$C48,"} &amp; "," &amp; ")))</f>
        <v/>
      </c>
      <c r="R51" s="28" t="str">
        <f>IF(J51="","",CONCATENATE(IF(ResultadosObtidos!G48=ResultadosObtidos!$C48,"\textbf{",""),J51," \% ",IF(ResultadosObtidos!G48=ResultadosObtidos!$C48,"} &amp; "," &amp; ")))</f>
        <v/>
      </c>
      <c r="S51" s="28" t="str">
        <f>IF(K51="","",CONCATENATE(IF(ResultadosObtidos!H48=ResultadosObtidos!$C48,"\textbf{",""),K51," \% ",IF(ResultadosObtidos!H48=ResultadosObtidos!$C48,"} &amp; "," &amp; ")))</f>
        <v/>
      </c>
      <c r="T51" s="28" t="str">
        <f>IF(L51="","",CONCATENATE(IF(ResultadosObtidos!I48=ResultadosObtidos!$C48,"\textbf{",""),L51," \% ",IF(ResultadosObtidos!I48=ResultadosObtidos!$C48,"} \\ "," \\ ")))</f>
        <v/>
      </c>
      <c r="U51" s="28"/>
      <c r="V51" s="28"/>
      <c r="W51" s="28"/>
      <c r="X51" s="28"/>
      <c r="Y51" s="28"/>
      <c r="Z51" s="28"/>
    </row>
    <row r="52" ht="15.75" customHeight="1">
      <c r="A52" s="36"/>
      <c r="C52" s="28"/>
      <c r="D52" s="28"/>
      <c r="E52" s="28" t="str">
        <f>ResultadosObtidos!B49</f>
        <v/>
      </c>
      <c r="F52" s="28" t="str">
        <f>IFERROR(IF(DesvioPercentual!C49&lt;&gt;"",SUBSTITUTE(TEXT(DesvioPercentual!C49,$F$2),".",","),""),"")</f>
        <v/>
      </c>
      <c r="G52" s="28" t="str">
        <f>IFERROR(IF(DesvioPercentual!D49&lt;&gt;"",SUBSTITUTE(TEXT(DesvioPercentual!D49,$F$3),".",","),""),"")</f>
        <v/>
      </c>
      <c r="H52" s="28" t="str">
        <f>IFERROR(IF(DesvioPercentual!E49&lt;&gt;"",SUBSTITUTE(TEXT(DesvioPercentual!E49,$F$3),".",","),""),"")</f>
        <v/>
      </c>
      <c r="I52" s="28" t="str">
        <f>IFERROR(IF(DesvioPercentual!F49&lt;&gt;"",SUBSTITUTE(TEXT(DesvioPercentual!F49,$F$3),".",","),""),"")</f>
        <v/>
      </c>
      <c r="J52" s="28" t="str">
        <f>IFERROR(IF(DesvioPercentual!G49&lt;&gt;"",SUBSTITUTE(TEXT(DesvioPercentual!G49,$F$3),".",","),""),"")</f>
        <v/>
      </c>
      <c r="K52" s="28" t="str">
        <f>IFERROR(IF(DesvioPercentual!H49&lt;&gt;"",SUBSTITUTE(TEXT(DesvioPercentual!H49,$F$3),".",","),""),"")</f>
        <v/>
      </c>
      <c r="L52" s="28" t="str">
        <f>IFERROR(IF(DesvioPercentual!I49&lt;&gt;"",SUBSTITUTE(TEXT(DesvioPercentual!I49,$F$3),".",","),""),"")</f>
        <v/>
      </c>
      <c r="M52" s="28"/>
      <c r="N52" s="28" t="str">
        <f t="shared" si="3"/>
        <v> &amp; </v>
      </c>
      <c r="O52" s="28" t="str">
        <f>IF(G52="","",CONCATENATE(IF(ResultadosObtidos!D49=ResultadosObtidos!$C49,"\textbf{",""),G52," \% ",IF(ResultadosObtidos!D49=ResultadosObtidos!$C49,"} &amp; "," &amp; ")))</f>
        <v/>
      </c>
      <c r="P52" s="28" t="str">
        <f>IF(H52="","",CONCATENATE(IF(ResultadosObtidos!E49=ResultadosObtidos!$C49,"\textbf{",""),H52," \% ",IF(ResultadosObtidos!E49=ResultadosObtidos!$C49,"} &amp; "," &amp; ")))</f>
        <v/>
      </c>
      <c r="Q52" s="28" t="str">
        <f>IF(I52="","",CONCATENATE(IF(ResultadosObtidos!F49=ResultadosObtidos!$C49,"\textbf{",""),I52," \% ",IF(ResultadosObtidos!F49=ResultadosObtidos!$C49,"} &amp; "," &amp; ")))</f>
        <v/>
      </c>
      <c r="R52" s="28" t="str">
        <f>IF(J52="","",CONCATENATE(IF(ResultadosObtidos!G49=ResultadosObtidos!$C49,"\textbf{",""),J52," \% ",IF(ResultadosObtidos!G49=ResultadosObtidos!$C49,"} &amp; "," &amp; ")))</f>
        <v/>
      </c>
      <c r="S52" s="28" t="str">
        <f>IF(K52="","",CONCATENATE(IF(ResultadosObtidos!H49=ResultadosObtidos!$C49,"\textbf{",""),K52," \% ",IF(ResultadosObtidos!H49=ResultadosObtidos!$C49,"} &amp; "," &amp; ")))</f>
        <v/>
      </c>
      <c r="T52" s="28" t="str">
        <f>IF(L52="","",CONCATENATE(IF(ResultadosObtidos!I49=ResultadosObtidos!$C49,"\textbf{",""),L52," \% ",IF(ResultadosObtidos!I49=ResultadosObtidos!$C49,"} \\ "," \\ ")))</f>
        <v/>
      </c>
      <c r="U52" s="28"/>
      <c r="V52" s="28"/>
      <c r="W52" s="28"/>
      <c r="X52" s="28"/>
      <c r="Y52" s="28"/>
      <c r="Z52" s="28"/>
    </row>
    <row r="53" ht="15.75" customHeight="1">
      <c r="A53" s="36"/>
      <c r="C53" s="28"/>
      <c r="D53" s="28"/>
      <c r="E53" s="28" t="str">
        <f>ResultadosObtidos!B50</f>
        <v/>
      </c>
      <c r="F53" s="28" t="str">
        <f>IFERROR(IF(DesvioPercentual!C50&lt;&gt;"",SUBSTITUTE(TEXT(DesvioPercentual!C50,$F$2),".",","),""),"")</f>
        <v/>
      </c>
      <c r="G53" s="28" t="str">
        <f>IFERROR(IF(DesvioPercentual!D50&lt;&gt;"",SUBSTITUTE(TEXT(DesvioPercentual!D50,$F$3),".",","),""),"")</f>
        <v/>
      </c>
      <c r="H53" s="28" t="str">
        <f>IFERROR(IF(DesvioPercentual!E50&lt;&gt;"",SUBSTITUTE(TEXT(DesvioPercentual!E50,$F$3),".",","),""),"")</f>
        <v/>
      </c>
      <c r="I53" s="28" t="str">
        <f>IFERROR(IF(DesvioPercentual!F50&lt;&gt;"",SUBSTITUTE(TEXT(DesvioPercentual!F50,$F$3),".",","),""),"")</f>
        <v/>
      </c>
      <c r="J53" s="28" t="str">
        <f>IFERROR(IF(DesvioPercentual!G50&lt;&gt;"",SUBSTITUTE(TEXT(DesvioPercentual!G50,$F$3),".",","),""),"")</f>
        <v/>
      </c>
      <c r="K53" s="28" t="str">
        <f>IFERROR(IF(DesvioPercentual!H50&lt;&gt;"",SUBSTITUTE(TEXT(DesvioPercentual!H50,$F$3),".",","),""),"")</f>
        <v/>
      </c>
      <c r="L53" s="28" t="str">
        <f>IFERROR(IF(DesvioPercentual!I50&lt;&gt;"",SUBSTITUTE(TEXT(DesvioPercentual!I50,$F$3),".",","),""),"")</f>
        <v/>
      </c>
      <c r="M53" s="28"/>
      <c r="N53" s="28" t="str">
        <f t="shared" si="3"/>
        <v> &amp; </v>
      </c>
      <c r="O53" s="28" t="str">
        <f>IF(G53="","",CONCATENATE(IF(ResultadosObtidos!D50=ResultadosObtidos!$C50,"\textbf{",""),G53," \% ",IF(ResultadosObtidos!D50=ResultadosObtidos!$C50,"} &amp; "," &amp; ")))</f>
        <v/>
      </c>
      <c r="P53" s="28" t="str">
        <f>IF(H53="","",CONCATENATE(IF(ResultadosObtidos!E50=ResultadosObtidos!$C50,"\textbf{",""),H53," \% ",IF(ResultadosObtidos!E50=ResultadosObtidos!$C50,"} &amp; "," &amp; ")))</f>
        <v/>
      </c>
      <c r="Q53" s="28" t="str">
        <f>IF(I53="","",CONCATENATE(IF(ResultadosObtidos!F50=ResultadosObtidos!$C50,"\textbf{",""),I53," \% ",IF(ResultadosObtidos!F50=ResultadosObtidos!$C50,"} &amp; "," &amp; ")))</f>
        <v/>
      </c>
      <c r="R53" s="28" t="str">
        <f>IF(J53="","",CONCATENATE(IF(ResultadosObtidos!G50=ResultadosObtidos!$C50,"\textbf{",""),J53," \% ",IF(ResultadosObtidos!G50=ResultadosObtidos!$C50,"} &amp; "," &amp; ")))</f>
        <v/>
      </c>
      <c r="S53" s="28" t="str">
        <f>IF(K53="","",CONCATENATE(IF(ResultadosObtidos!H50=ResultadosObtidos!$C50,"\textbf{",""),K53," \% ",IF(ResultadosObtidos!H50=ResultadosObtidos!$C50,"} &amp; "," &amp; ")))</f>
        <v/>
      </c>
      <c r="T53" s="28" t="str">
        <f>IF(L53="","",CONCATENATE(IF(ResultadosObtidos!I50=ResultadosObtidos!$C50,"\textbf{",""),L53," \% ",IF(ResultadosObtidos!I50=ResultadosObtidos!$C50,"} \\ "," \\ ")))</f>
        <v/>
      </c>
      <c r="U53" s="28"/>
      <c r="V53" s="28"/>
      <c r="W53" s="28"/>
      <c r="X53" s="28"/>
      <c r="Y53" s="28"/>
      <c r="Z53" s="28"/>
    </row>
    <row r="54" ht="15.75" customHeight="1">
      <c r="A54" s="36"/>
      <c r="C54" s="28"/>
      <c r="D54" s="28"/>
      <c r="E54" s="28" t="str">
        <f>ResultadosObtidos!B51</f>
        <v/>
      </c>
      <c r="F54" s="28" t="str">
        <f>IFERROR(IF(DesvioPercentual!C51&lt;&gt;"",SUBSTITUTE(TEXT(DesvioPercentual!C51,$F$2),".",","),""),"")</f>
        <v/>
      </c>
      <c r="G54" s="28" t="str">
        <f>IFERROR(IF(DesvioPercentual!D51&lt;&gt;"",SUBSTITUTE(TEXT(DesvioPercentual!D51,$F$3),".",","),""),"")</f>
        <v/>
      </c>
      <c r="H54" s="28" t="str">
        <f>IFERROR(IF(DesvioPercentual!E51&lt;&gt;"",SUBSTITUTE(TEXT(DesvioPercentual!E51,$F$3),".",","),""),"")</f>
        <v/>
      </c>
      <c r="I54" s="28" t="str">
        <f>IFERROR(IF(DesvioPercentual!F51&lt;&gt;"",SUBSTITUTE(TEXT(DesvioPercentual!F51,$F$3),".",","),""),"")</f>
        <v/>
      </c>
      <c r="J54" s="28" t="str">
        <f>IFERROR(IF(DesvioPercentual!G51&lt;&gt;"",SUBSTITUTE(TEXT(DesvioPercentual!G51,$F$3),".",","),""),"")</f>
        <v/>
      </c>
      <c r="K54" s="28" t="str">
        <f>IFERROR(IF(DesvioPercentual!H51&lt;&gt;"",SUBSTITUTE(TEXT(DesvioPercentual!H51,$F$3),".",","),""),"")</f>
        <v/>
      </c>
      <c r="L54" s="28" t="str">
        <f>IFERROR(IF(DesvioPercentual!I51&lt;&gt;"",SUBSTITUTE(TEXT(DesvioPercentual!I51,$F$3),".",","),""),"")</f>
        <v/>
      </c>
      <c r="M54" s="28"/>
      <c r="N54" s="28" t="str">
        <f t="shared" si="3"/>
        <v> &amp; </v>
      </c>
      <c r="O54" s="28" t="str">
        <f>IF(G54="","",CONCATENATE(IF(ResultadosObtidos!D51=ResultadosObtidos!$C51,"\textbf{",""),G54," \% ",IF(ResultadosObtidos!D51=ResultadosObtidos!$C51,"} &amp; "," &amp; ")))</f>
        <v/>
      </c>
      <c r="P54" s="28" t="str">
        <f>IF(H54="","",CONCATENATE(IF(ResultadosObtidos!E51=ResultadosObtidos!$C51,"\textbf{",""),H54," \% ",IF(ResultadosObtidos!E51=ResultadosObtidos!$C51,"} &amp; "," &amp; ")))</f>
        <v/>
      </c>
      <c r="Q54" s="28" t="str">
        <f>IF(I54="","",CONCATENATE(IF(ResultadosObtidos!F51=ResultadosObtidos!$C51,"\textbf{",""),I54," \% ",IF(ResultadosObtidos!F51=ResultadosObtidos!$C51,"} &amp; "," &amp; ")))</f>
        <v/>
      </c>
      <c r="R54" s="28" t="str">
        <f>IF(J54="","",CONCATENATE(IF(ResultadosObtidos!G51=ResultadosObtidos!$C51,"\textbf{",""),J54," \% ",IF(ResultadosObtidos!G51=ResultadosObtidos!$C51,"} &amp; "," &amp; ")))</f>
        <v/>
      </c>
      <c r="S54" s="28" t="str">
        <f>IF(K54="","",CONCATENATE(IF(ResultadosObtidos!H51=ResultadosObtidos!$C51,"\textbf{",""),K54," \% ",IF(ResultadosObtidos!H51=ResultadosObtidos!$C51,"} &amp; "," &amp; ")))</f>
        <v/>
      </c>
      <c r="T54" s="28" t="str">
        <f>IF(L54="","",CONCATENATE(IF(ResultadosObtidos!I51=ResultadosObtidos!$C51,"\textbf{",""),L54," \% ",IF(ResultadosObtidos!I51=ResultadosObtidos!$C51,"} \\ "," \\ ")))</f>
        <v/>
      </c>
      <c r="U54" s="28"/>
      <c r="V54" s="28"/>
      <c r="W54" s="28"/>
      <c r="X54" s="28"/>
      <c r="Y54" s="28"/>
      <c r="Z54" s="28"/>
    </row>
    <row r="55" ht="15.75" customHeight="1">
      <c r="A55" s="36"/>
      <c r="C55" s="28"/>
      <c r="D55" s="28"/>
      <c r="E55" s="28" t="str">
        <f>ResultadosObtidos!B52</f>
        <v/>
      </c>
      <c r="F55" s="28" t="str">
        <f>IFERROR(IF(DesvioPercentual!C52&lt;&gt;"",SUBSTITUTE(TEXT(DesvioPercentual!C52,$F$2),".",","),""),"")</f>
        <v/>
      </c>
      <c r="G55" s="28" t="str">
        <f>IFERROR(IF(DesvioPercentual!D52&lt;&gt;"",SUBSTITUTE(TEXT(DesvioPercentual!D52,$F$3),".",","),""),"")</f>
        <v/>
      </c>
      <c r="H55" s="28" t="str">
        <f>IFERROR(IF(DesvioPercentual!E52&lt;&gt;"",SUBSTITUTE(TEXT(DesvioPercentual!E52,$F$3),".",","),""),"")</f>
        <v/>
      </c>
      <c r="I55" s="28" t="str">
        <f>IFERROR(IF(DesvioPercentual!F52&lt;&gt;"",SUBSTITUTE(TEXT(DesvioPercentual!F52,$F$3),".",","),""),"")</f>
        <v/>
      </c>
      <c r="J55" s="28" t="str">
        <f>IFERROR(IF(DesvioPercentual!G52&lt;&gt;"",SUBSTITUTE(TEXT(DesvioPercentual!G52,$F$3),".",","),""),"")</f>
        <v/>
      </c>
      <c r="K55" s="28" t="str">
        <f>IFERROR(IF(DesvioPercentual!H52&lt;&gt;"",SUBSTITUTE(TEXT(DesvioPercentual!H52,$F$3),".",","),""),"")</f>
        <v/>
      </c>
      <c r="L55" s="28" t="str">
        <f>IFERROR(IF(DesvioPercentual!I52&lt;&gt;"",SUBSTITUTE(TEXT(DesvioPercentual!I52,$F$3),".",","),""),"")</f>
        <v/>
      </c>
      <c r="M55" s="28"/>
      <c r="N55" s="28" t="str">
        <f t="shared" si="3"/>
        <v> &amp; </v>
      </c>
      <c r="O55" s="28" t="str">
        <f>IF(G55="","",CONCATENATE(IF(ResultadosObtidos!D52=ResultadosObtidos!$C52,"\textbf{",""),G55," \% ",IF(ResultadosObtidos!D52=ResultadosObtidos!$C52,"} &amp; "," &amp; ")))</f>
        <v/>
      </c>
      <c r="P55" s="28" t="str">
        <f>IF(H55="","",CONCATENATE(IF(ResultadosObtidos!E52=ResultadosObtidos!$C52,"\textbf{",""),H55," \% ",IF(ResultadosObtidos!E52=ResultadosObtidos!$C52,"} &amp; "," &amp; ")))</f>
        <v/>
      </c>
      <c r="Q55" s="28" t="str">
        <f>IF(I55="","",CONCATENATE(IF(ResultadosObtidos!F52=ResultadosObtidos!$C52,"\textbf{",""),I55," \% ",IF(ResultadosObtidos!F52=ResultadosObtidos!$C52,"} &amp; "," &amp; ")))</f>
        <v/>
      </c>
      <c r="R55" s="28" t="str">
        <f>IF(J55="","",CONCATENATE(IF(ResultadosObtidos!G52=ResultadosObtidos!$C52,"\textbf{",""),J55," \% ",IF(ResultadosObtidos!G52=ResultadosObtidos!$C52,"} &amp; "," &amp; ")))</f>
        <v/>
      </c>
      <c r="S55" s="28" t="str">
        <f>IF(K55="","",CONCATENATE(IF(ResultadosObtidos!H52=ResultadosObtidos!$C52,"\textbf{",""),K55," \% ",IF(ResultadosObtidos!H52=ResultadosObtidos!$C52,"} &amp; "," &amp; ")))</f>
        <v/>
      </c>
      <c r="T55" s="28" t="str">
        <f>IF(L55="","",CONCATENATE(IF(ResultadosObtidos!I52=ResultadosObtidos!$C52,"\textbf{",""),L55," \% ",IF(ResultadosObtidos!I52=ResultadosObtidos!$C52,"} \\ "," \\ ")))</f>
        <v/>
      </c>
      <c r="U55" s="28"/>
      <c r="V55" s="28"/>
      <c r="W55" s="28"/>
      <c r="X55" s="28"/>
      <c r="Y55" s="28"/>
      <c r="Z55" s="28"/>
    </row>
    <row r="56" ht="15.75" customHeight="1">
      <c r="A56" s="36"/>
      <c r="C56" s="28"/>
      <c r="D56" s="28"/>
      <c r="E56" s="28" t="str">
        <f>ResultadosObtidos!B53</f>
        <v/>
      </c>
      <c r="F56" s="28" t="str">
        <f>IFERROR(IF(DesvioPercentual!C53&lt;&gt;"",SUBSTITUTE(TEXT(DesvioPercentual!C53,$F$2),".",","),""),"")</f>
        <v/>
      </c>
      <c r="G56" s="28" t="str">
        <f>IFERROR(IF(DesvioPercentual!D53&lt;&gt;"",SUBSTITUTE(TEXT(DesvioPercentual!D53,$F$3),".",","),""),"")</f>
        <v/>
      </c>
      <c r="H56" s="28" t="str">
        <f>IFERROR(IF(DesvioPercentual!E53&lt;&gt;"",SUBSTITUTE(TEXT(DesvioPercentual!E53,$F$3),".",","),""),"")</f>
        <v/>
      </c>
      <c r="I56" s="28" t="str">
        <f>IFERROR(IF(DesvioPercentual!F53&lt;&gt;"",SUBSTITUTE(TEXT(DesvioPercentual!F53,$F$3),".",","),""),"")</f>
        <v/>
      </c>
      <c r="J56" s="28" t="str">
        <f>IFERROR(IF(DesvioPercentual!G53&lt;&gt;"",SUBSTITUTE(TEXT(DesvioPercentual!G53,$F$3),".",","),""),"")</f>
        <v/>
      </c>
      <c r="K56" s="28" t="str">
        <f>IFERROR(IF(DesvioPercentual!H53&lt;&gt;"",SUBSTITUTE(TEXT(DesvioPercentual!H53,$F$3),".",","),""),"")</f>
        <v/>
      </c>
      <c r="L56" s="28" t="str">
        <f>IFERROR(IF(DesvioPercentual!I53&lt;&gt;"",SUBSTITUTE(TEXT(DesvioPercentual!I53,$F$3),".",","),""),"")</f>
        <v/>
      </c>
      <c r="M56" s="28"/>
      <c r="N56" s="28" t="str">
        <f t="shared" si="3"/>
        <v> &amp; </v>
      </c>
      <c r="O56" s="28" t="str">
        <f>IF(G56="","",CONCATENATE(IF(ResultadosObtidos!D53=ResultadosObtidos!$C53,"\textbf{",""),G56," \% ",IF(ResultadosObtidos!D53=ResultadosObtidos!$C53,"} &amp; "," &amp; ")))</f>
        <v/>
      </c>
      <c r="P56" s="28" t="str">
        <f>IF(H56="","",CONCATENATE(IF(ResultadosObtidos!E53=ResultadosObtidos!$C53,"\textbf{",""),H56," \% ",IF(ResultadosObtidos!E53=ResultadosObtidos!$C53,"} &amp; "," &amp; ")))</f>
        <v/>
      </c>
      <c r="Q56" s="28" t="str">
        <f>IF(I56="","",CONCATENATE(IF(ResultadosObtidos!F53=ResultadosObtidos!$C53,"\textbf{",""),I56," \% ",IF(ResultadosObtidos!F53=ResultadosObtidos!$C53,"} &amp; "," &amp; ")))</f>
        <v/>
      </c>
      <c r="R56" s="28" t="str">
        <f>IF(J56="","",CONCATENATE(IF(ResultadosObtidos!G53=ResultadosObtidos!$C53,"\textbf{",""),J56," \% ",IF(ResultadosObtidos!G53=ResultadosObtidos!$C53,"} &amp; "," &amp; ")))</f>
        <v/>
      </c>
      <c r="S56" s="28" t="str">
        <f>IF(K56="","",CONCATENATE(IF(ResultadosObtidos!H53=ResultadosObtidos!$C53,"\textbf{",""),K56," \% ",IF(ResultadosObtidos!H53=ResultadosObtidos!$C53,"} &amp; "," &amp; ")))</f>
        <v/>
      </c>
      <c r="T56" s="28" t="str">
        <f>IF(L56="","",CONCATENATE(IF(ResultadosObtidos!I53=ResultadosObtidos!$C53,"\textbf{",""),L56," \% ",IF(ResultadosObtidos!I53=ResultadosObtidos!$C53,"} \\ "," \\ ")))</f>
        <v/>
      </c>
      <c r="U56" s="28"/>
      <c r="V56" s="28"/>
      <c r="W56" s="28"/>
      <c r="X56" s="28"/>
      <c r="Y56" s="28"/>
      <c r="Z56" s="28"/>
    </row>
    <row r="57" ht="15.75" customHeight="1">
      <c r="A57" s="36"/>
      <c r="C57" s="28"/>
      <c r="D57" s="28"/>
      <c r="E57" s="28" t="str">
        <f>ResultadosObtidos!B54</f>
        <v/>
      </c>
      <c r="F57" s="28" t="str">
        <f>IFERROR(IF(DesvioPercentual!C54&lt;&gt;"",SUBSTITUTE(TEXT(DesvioPercentual!C54,$F$2),".",","),""),"")</f>
        <v/>
      </c>
      <c r="G57" s="28" t="str">
        <f>IFERROR(IF(DesvioPercentual!D54&lt;&gt;"",SUBSTITUTE(TEXT(DesvioPercentual!D54,$F$3),".",","),""),"")</f>
        <v/>
      </c>
      <c r="H57" s="28" t="str">
        <f>IFERROR(IF(DesvioPercentual!E54&lt;&gt;"",SUBSTITUTE(TEXT(DesvioPercentual!E54,$F$3),".",","),""),"")</f>
        <v/>
      </c>
      <c r="I57" s="28" t="str">
        <f>IFERROR(IF(DesvioPercentual!F54&lt;&gt;"",SUBSTITUTE(TEXT(DesvioPercentual!F54,$F$3),".",","),""),"")</f>
        <v/>
      </c>
      <c r="J57" s="28" t="str">
        <f>IFERROR(IF(DesvioPercentual!G54&lt;&gt;"",SUBSTITUTE(TEXT(DesvioPercentual!G54,$F$3),".",","),""),"")</f>
        <v/>
      </c>
      <c r="K57" s="28" t="str">
        <f>IFERROR(IF(DesvioPercentual!H54&lt;&gt;"",SUBSTITUTE(TEXT(DesvioPercentual!H54,$F$3),".",","),""),"")</f>
        <v/>
      </c>
      <c r="L57" s="28" t="str">
        <f>IFERROR(IF(DesvioPercentual!I54&lt;&gt;"",SUBSTITUTE(TEXT(DesvioPercentual!I54,$F$3),".",","),""),"")</f>
        <v/>
      </c>
      <c r="M57" s="28"/>
      <c r="N57" s="28" t="str">
        <f t="shared" si="3"/>
        <v> &amp; </v>
      </c>
      <c r="O57" s="28" t="str">
        <f>IF(G57="","",CONCATENATE(IF(ResultadosObtidos!D54=ResultadosObtidos!$C54,"\textbf{",""),G57," \% ",IF(ResultadosObtidos!D54=ResultadosObtidos!$C54,"} &amp; "," &amp; ")))</f>
        <v/>
      </c>
      <c r="P57" s="28" t="str">
        <f>IF(H57="","",CONCATENATE(IF(ResultadosObtidos!E54=ResultadosObtidos!$C54,"\textbf{",""),H57," \% ",IF(ResultadosObtidos!E54=ResultadosObtidos!$C54,"} &amp; "," &amp; ")))</f>
        <v/>
      </c>
      <c r="Q57" s="28" t="str">
        <f>IF(I57="","",CONCATENATE(IF(ResultadosObtidos!F54=ResultadosObtidos!$C54,"\textbf{",""),I57," \% ",IF(ResultadosObtidos!F54=ResultadosObtidos!$C54,"} &amp; "," &amp; ")))</f>
        <v/>
      </c>
      <c r="R57" s="28" t="str">
        <f>IF(J57="","",CONCATENATE(IF(ResultadosObtidos!G54=ResultadosObtidos!$C54,"\textbf{",""),J57," \% ",IF(ResultadosObtidos!G54=ResultadosObtidos!$C54,"} &amp; "," &amp; ")))</f>
        <v/>
      </c>
      <c r="S57" s="28" t="str">
        <f>IF(K57="","",CONCATENATE(IF(ResultadosObtidos!H54=ResultadosObtidos!$C54,"\textbf{",""),K57," \% ",IF(ResultadosObtidos!H54=ResultadosObtidos!$C54,"} &amp; "," &amp; ")))</f>
        <v/>
      </c>
      <c r="T57" s="28" t="str">
        <f>IF(L57="","",CONCATENATE(IF(ResultadosObtidos!I54=ResultadosObtidos!$C54,"\textbf{",""),L57," \% ",IF(ResultadosObtidos!I54=ResultadosObtidos!$C54,"} \\ "," \\ ")))</f>
        <v/>
      </c>
      <c r="U57" s="28"/>
      <c r="V57" s="28"/>
      <c r="W57" s="28"/>
      <c r="X57" s="28"/>
      <c r="Y57" s="28"/>
      <c r="Z57" s="28"/>
    </row>
    <row r="58" ht="15.75" customHeight="1">
      <c r="A58" s="36"/>
      <c r="C58" s="28"/>
      <c r="D58" s="28"/>
      <c r="E58" s="28" t="str">
        <f>ResultadosObtidos!B55</f>
        <v/>
      </c>
      <c r="F58" s="28" t="str">
        <f>IFERROR(IF(DesvioPercentual!C55&lt;&gt;"",SUBSTITUTE(TEXT(DesvioPercentual!C55,$F$2),".",","),""),"")</f>
        <v/>
      </c>
      <c r="G58" s="28" t="str">
        <f>IFERROR(IF(DesvioPercentual!D55&lt;&gt;"",SUBSTITUTE(TEXT(DesvioPercentual!D55,$F$3),".",","),""),"")</f>
        <v/>
      </c>
      <c r="H58" s="28" t="str">
        <f>IFERROR(IF(DesvioPercentual!E55&lt;&gt;"",SUBSTITUTE(TEXT(DesvioPercentual!E55,$F$3),".",","),""),"")</f>
        <v/>
      </c>
      <c r="I58" s="28" t="str">
        <f>IFERROR(IF(DesvioPercentual!F55&lt;&gt;"",SUBSTITUTE(TEXT(DesvioPercentual!F55,$F$3),".",","),""),"")</f>
        <v/>
      </c>
      <c r="J58" s="28" t="str">
        <f>IFERROR(IF(DesvioPercentual!G55&lt;&gt;"",SUBSTITUTE(TEXT(DesvioPercentual!G55,$F$3),".",","),""),"")</f>
        <v/>
      </c>
      <c r="K58" s="28" t="str">
        <f>IFERROR(IF(DesvioPercentual!H55&lt;&gt;"",SUBSTITUTE(TEXT(DesvioPercentual!H55,$F$3),".",","),""),"")</f>
        <v/>
      </c>
      <c r="L58" s="28" t="str">
        <f>IFERROR(IF(DesvioPercentual!I55&lt;&gt;"",SUBSTITUTE(TEXT(DesvioPercentual!I55,$F$3),".",","),""),"")</f>
        <v/>
      </c>
      <c r="M58" s="28"/>
      <c r="N58" s="28" t="str">
        <f t="shared" si="3"/>
        <v> &amp; </v>
      </c>
      <c r="O58" s="28" t="str">
        <f>IF(G58="","",CONCATENATE(IF(ResultadosObtidos!D55=ResultadosObtidos!$C55,"\textbf{",""),G58," \% ",IF(ResultadosObtidos!D55=ResultadosObtidos!$C55,"} &amp; "," &amp; ")))</f>
        <v/>
      </c>
      <c r="P58" s="28" t="str">
        <f>IF(H58="","",CONCATENATE(IF(ResultadosObtidos!E55=ResultadosObtidos!$C55,"\textbf{",""),H58," \% ",IF(ResultadosObtidos!E55=ResultadosObtidos!$C55,"} &amp; "," &amp; ")))</f>
        <v/>
      </c>
      <c r="Q58" s="28" t="str">
        <f>IF(I58="","",CONCATENATE(IF(ResultadosObtidos!F55=ResultadosObtidos!$C55,"\textbf{",""),I58," \% ",IF(ResultadosObtidos!F55=ResultadosObtidos!$C55,"} &amp; "," &amp; ")))</f>
        <v/>
      </c>
      <c r="R58" s="28" t="str">
        <f>IF(J58="","",CONCATENATE(IF(ResultadosObtidos!G55=ResultadosObtidos!$C55,"\textbf{",""),J58," \% ",IF(ResultadosObtidos!G55=ResultadosObtidos!$C55,"} &amp; "," &amp; ")))</f>
        <v/>
      </c>
      <c r="S58" s="28" t="str">
        <f>IF(K58="","",CONCATENATE(IF(ResultadosObtidos!H55=ResultadosObtidos!$C55,"\textbf{",""),K58," \% ",IF(ResultadosObtidos!H55=ResultadosObtidos!$C55,"} &amp; "," &amp; ")))</f>
        <v/>
      </c>
      <c r="T58" s="28" t="str">
        <f>IF(L58="","",CONCATENATE(IF(ResultadosObtidos!I55=ResultadosObtidos!$C55,"\textbf{",""),L58," \% ",IF(ResultadosObtidos!I55=ResultadosObtidos!$C55,"} \\ "," \\ ")))</f>
        <v/>
      </c>
      <c r="U58" s="28"/>
      <c r="V58" s="28"/>
      <c r="W58" s="28"/>
      <c r="X58" s="28"/>
      <c r="Y58" s="28"/>
      <c r="Z58" s="28"/>
    </row>
    <row r="59" ht="15.75" customHeight="1">
      <c r="A59" s="36"/>
      <c r="C59" s="28"/>
      <c r="D59" s="28"/>
      <c r="E59" s="28" t="str">
        <f>ResultadosObtidos!B56</f>
        <v/>
      </c>
      <c r="F59" s="28" t="str">
        <f>IFERROR(IF(DesvioPercentual!C56&lt;&gt;"",SUBSTITUTE(TEXT(DesvioPercentual!C56,$F$2),".",","),""),"")</f>
        <v/>
      </c>
      <c r="G59" s="28" t="str">
        <f>IFERROR(IF(DesvioPercentual!D56&lt;&gt;"",SUBSTITUTE(TEXT(DesvioPercentual!D56,$F$3),".",","),""),"")</f>
        <v/>
      </c>
      <c r="H59" s="28" t="str">
        <f>IFERROR(IF(DesvioPercentual!E56&lt;&gt;"",SUBSTITUTE(TEXT(DesvioPercentual!E56,$F$3),".",","),""),"")</f>
        <v/>
      </c>
      <c r="I59" s="28" t="str">
        <f>IFERROR(IF(DesvioPercentual!F56&lt;&gt;"",SUBSTITUTE(TEXT(DesvioPercentual!F56,$F$3),".",","),""),"")</f>
        <v/>
      </c>
      <c r="J59" s="28" t="str">
        <f>IFERROR(IF(DesvioPercentual!G56&lt;&gt;"",SUBSTITUTE(TEXT(DesvioPercentual!G56,$F$3),".",","),""),"")</f>
        <v/>
      </c>
      <c r="K59" s="28" t="str">
        <f>IFERROR(IF(DesvioPercentual!H56&lt;&gt;"",SUBSTITUTE(TEXT(DesvioPercentual!H56,$F$3),".",","),""),"")</f>
        <v/>
      </c>
      <c r="L59" s="28" t="str">
        <f>IFERROR(IF(DesvioPercentual!I56&lt;&gt;"",SUBSTITUTE(TEXT(DesvioPercentual!I56,$F$3),".",","),""),"")</f>
        <v/>
      </c>
      <c r="M59" s="28"/>
      <c r="N59" s="28" t="str">
        <f t="shared" si="3"/>
        <v> &amp; </v>
      </c>
      <c r="O59" s="28" t="str">
        <f>IF(G59="","",CONCATENATE(IF(ResultadosObtidos!D56=ResultadosObtidos!$C56,"\textbf{",""),G59," \% ",IF(ResultadosObtidos!D56=ResultadosObtidos!$C56,"} &amp; "," &amp; ")))</f>
        <v/>
      </c>
      <c r="P59" s="28" t="str">
        <f>IF(H59="","",CONCATENATE(IF(ResultadosObtidos!E56=ResultadosObtidos!$C56,"\textbf{",""),H59," \% ",IF(ResultadosObtidos!E56=ResultadosObtidos!$C56,"} &amp; "," &amp; ")))</f>
        <v/>
      </c>
      <c r="Q59" s="28" t="str">
        <f>IF(I59="","",CONCATENATE(IF(ResultadosObtidos!F56=ResultadosObtidos!$C56,"\textbf{",""),I59," \% ",IF(ResultadosObtidos!F56=ResultadosObtidos!$C56,"} &amp; "," &amp; ")))</f>
        <v/>
      </c>
      <c r="R59" s="28" t="str">
        <f>IF(J59="","",CONCATENATE(IF(ResultadosObtidos!G56=ResultadosObtidos!$C56,"\textbf{",""),J59," \% ",IF(ResultadosObtidos!G56=ResultadosObtidos!$C56,"} &amp; "," &amp; ")))</f>
        <v/>
      </c>
      <c r="S59" s="28" t="str">
        <f>IF(K59="","",CONCATENATE(IF(ResultadosObtidos!H56=ResultadosObtidos!$C56,"\textbf{",""),K59," \% ",IF(ResultadosObtidos!H56=ResultadosObtidos!$C56,"} &amp; "," &amp; ")))</f>
        <v/>
      </c>
      <c r="T59" s="28" t="str">
        <f>IF(L59="","",CONCATENATE(IF(ResultadosObtidos!I56=ResultadosObtidos!$C56,"\textbf{",""),L59," \% ",IF(ResultadosObtidos!I56=ResultadosObtidos!$C56,"} \\ "," \\ ")))</f>
        <v/>
      </c>
      <c r="U59" s="28"/>
      <c r="V59" s="28"/>
      <c r="W59" s="28"/>
      <c r="X59" s="28"/>
      <c r="Y59" s="28"/>
      <c r="Z59" s="28"/>
    </row>
    <row r="60" ht="15.75" customHeight="1">
      <c r="A60" s="36"/>
      <c r="C60" s="28"/>
      <c r="D60" s="28"/>
      <c r="E60" s="28" t="str">
        <f>ResultadosObtidos!B57</f>
        <v/>
      </c>
      <c r="F60" s="28" t="str">
        <f>IFERROR(IF(DesvioPercentual!C57&lt;&gt;"",SUBSTITUTE(TEXT(DesvioPercentual!C57,$F$2),".",","),""),"")</f>
        <v/>
      </c>
      <c r="G60" s="28" t="str">
        <f>IFERROR(IF(DesvioPercentual!D57&lt;&gt;"",SUBSTITUTE(TEXT(DesvioPercentual!D57,$F$3),".",","),""),"")</f>
        <v/>
      </c>
      <c r="H60" s="28" t="str">
        <f>IFERROR(IF(DesvioPercentual!E57&lt;&gt;"",SUBSTITUTE(TEXT(DesvioPercentual!E57,$F$3),".",","),""),"")</f>
        <v/>
      </c>
      <c r="I60" s="28" t="str">
        <f>IFERROR(IF(DesvioPercentual!F57&lt;&gt;"",SUBSTITUTE(TEXT(DesvioPercentual!F57,$F$3),".",","),""),"")</f>
        <v/>
      </c>
      <c r="J60" s="28" t="str">
        <f>IFERROR(IF(DesvioPercentual!G57&lt;&gt;"",SUBSTITUTE(TEXT(DesvioPercentual!G57,$F$3),".",","),""),"")</f>
        <v/>
      </c>
      <c r="K60" s="28" t="str">
        <f>IFERROR(IF(DesvioPercentual!H57&lt;&gt;"",SUBSTITUTE(TEXT(DesvioPercentual!H57,$F$3),".",","),""),"")</f>
        <v/>
      </c>
      <c r="L60" s="28" t="str">
        <f>IFERROR(IF(DesvioPercentual!I57&lt;&gt;"",SUBSTITUTE(TEXT(DesvioPercentual!I57,$F$3),".",","),""),"")</f>
        <v/>
      </c>
      <c r="M60" s="28"/>
      <c r="N60" s="28" t="str">
        <f t="shared" si="3"/>
        <v> &amp; </v>
      </c>
      <c r="O60" s="28" t="str">
        <f>IF(G60="","",CONCATENATE(IF(ResultadosObtidos!D57=ResultadosObtidos!$C57,"\textbf{",""),G60," \% ",IF(ResultadosObtidos!D57=ResultadosObtidos!$C57,"} &amp; "," &amp; ")))</f>
        <v/>
      </c>
      <c r="P60" s="28" t="str">
        <f>IF(H60="","",CONCATENATE(IF(ResultadosObtidos!E57=ResultadosObtidos!$C57,"\textbf{",""),H60," \% ",IF(ResultadosObtidos!E57=ResultadosObtidos!$C57,"} &amp; "," &amp; ")))</f>
        <v/>
      </c>
      <c r="Q60" s="28" t="str">
        <f>IF(I60="","",CONCATENATE(IF(ResultadosObtidos!F57=ResultadosObtidos!$C57,"\textbf{",""),I60," \% ",IF(ResultadosObtidos!F57=ResultadosObtidos!$C57,"} &amp; "," &amp; ")))</f>
        <v/>
      </c>
      <c r="R60" s="28" t="str">
        <f>IF(J60="","",CONCATENATE(IF(ResultadosObtidos!G57=ResultadosObtidos!$C57,"\textbf{",""),J60," \% ",IF(ResultadosObtidos!G57=ResultadosObtidos!$C57,"} &amp; "," &amp; ")))</f>
        <v/>
      </c>
      <c r="S60" s="28" t="str">
        <f>IF(K60="","",CONCATENATE(IF(ResultadosObtidos!H57=ResultadosObtidos!$C57,"\textbf{",""),K60," \% ",IF(ResultadosObtidos!H57=ResultadosObtidos!$C57,"} &amp; "," &amp; ")))</f>
        <v/>
      </c>
      <c r="T60" s="28" t="str">
        <f>IF(L60="","",CONCATENATE(IF(ResultadosObtidos!I57=ResultadosObtidos!$C57,"\textbf{",""),L60," \% ",IF(ResultadosObtidos!I57=ResultadosObtidos!$C57,"} \\ "," \\ ")))</f>
        <v/>
      </c>
      <c r="U60" s="28"/>
      <c r="V60" s="28"/>
      <c r="W60" s="28"/>
      <c r="X60" s="28"/>
      <c r="Y60" s="28"/>
      <c r="Z60" s="28"/>
    </row>
    <row r="61" ht="15.75" customHeight="1">
      <c r="A61" s="36"/>
      <c r="C61" s="28"/>
      <c r="D61" s="28"/>
      <c r="E61" s="28" t="str">
        <f>ResultadosObtidos!B58</f>
        <v/>
      </c>
      <c r="F61" s="28" t="str">
        <f>IFERROR(IF(DesvioPercentual!C58&lt;&gt;"",SUBSTITUTE(TEXT(DesvioPercentual!C58,$F$2),".",","),""),"")</f>
        <v/>
      </c>
      <c r="G61" s="28" t="str">
        <f>IFERROR(IF(DesvioPercentual!D58&lt;&gt;"",SUBSTITUTE(TEXT(DesvioPercentual!D58,$F$3),".",","),""),"")</f>
        <v/>
      </c>
      <c r="H61" s="28" t="str">
        <f>IFERROR(IF(DesvioPercentual!E58&lt;&gt;"",SUBSTITUTE(TEXT(DesvioPercentual!E58,$F$3),".",","),""),"")</f>
        <v/>
      </c>
      <c r="I61" s="28" t="str">
        <f>IFERROR(IF(DesvioPercentual!F58&lt;&gt;"",SUBSTITUTE(TEXT(DesvioPercentual!F58,$F$3),".",","),""),"")</f>
        <v/>
      </c>
      <c r="J61" s="28" t="str">
        <f>IFERROR(IF(DesvioPercentual!G58&lt;&gt;"",SUBSTITUTE(TEXT(DesvioPercentual!G58,$F$3),".",","),""),"")</f>
        <v/>
      </c>
      <c r="K61" s="28" t="str">
        <f>IFERROR(IF(DesvioPercentual!H58&lt;&gt;"",SUBSTITUTE(TEXT(DesvioPercentual!H58,$F$3),".",","),""),"")</f>
        <v/>
      </c>
      <c r="L61" s="28" t="str">
        <f>IFERROR(IF(DesvioPercentual!I58&lt;&gt;"",SUBSTITUTE(TEXT(DesvioPercentual!I58,$F$3),".",","),""),"")</f>
        <v/>
      </c>
      <c r="M61" s="28"/>
      <c r="N61" s="28" t="str">
        <f t="shared" si="3"/>
        <v> &amp; </v>
      </c>
      <c r="O61" s="28" t="str">
        <f>IF(G61="","",CONCATENATE(IF(ResultadosObtidos!D58=ResultadosObtidos!$C58,"\textbf{",""),G61," \% ",IF(ResultadosObtidos!D58=ResultadosObtidos!$C58,"} &amp; "," &amp; ")))</f>
        <v/>
      </c>
      <c r="P61" s="28" t="str">
        <f>IF(H61="","",CONCATENATE(IF(ResultadosObtidos!E58=ResultadosObtidos!$C58,"\textbf{",""),H61," \% ",IF(ResultadosObtidos!E58=ResultadosObtidos!$C58,"} &amp; "," &amp; ")))</f>
        <v/>
      </c>
      <c r="Q61" s="28" t="str">
        <f>IF(I61="","",CONCATENATE(IF(ResultadosObtidos!F58=ResultadosObtidos!$C58,"\textbf{",""),I61," \% ",IF(ResultadosObtidos!F58=ResultadosObtidos!$C58,"} &amp; "," &amp; ")))</f>
        <v/>
      </c>
      <c r="R61" s="28" t="str">
        <f>IF(J61="","",CONCATENATE(IF(ResultadosObtidos!G58=ResultadosObtidos!$C58,"\textbf{",""),J61," \% ",IF(ResultadosObtidos!G58=ResultadosObtidos!$C58,"} &amp; "," &amp; ")))</f>
        <v/>
      </c>
      <c r="S61" s="28" t="str">
        <f>IF(K61="","",CONCATENATE(IF(ResultadosObtidos!H58=ResultadosObtidos!$C58,"\textbf{",""),K61," \% ",IF(ResultadosObtidos!H58=ResultadosObtidos!$C58,"} &amp; "," &amp; ")))</f>
        <v/>
      </c>
      <c r="T61" s="28" t="str">
        <f>IF(L61="","",CONCATENATE(IF(ResultadosObtidos!I58=ResultadosObtidos!$C58,"\textbf{",""),L61," \% ",IF(ResultadosObtidos!I58=ResultadosObtidos!$C58,"} \\ "," \\ ")))</f>
        <v/>
      </c>
      <c r="U61" s="28"/>
      <c r="V61" s="28"/>
      <c r="W61" s="28"/>
      <c r="X61" s="28"/>
      <c r="Y61" s="28"/>
      <c r="Z61" s="28"/>
    </row>
    <row r="62" ht="15.75" customHeight="1">
      <c r="A62" s="36"/>
      <c r="C62" s="28"/>
      <c r="D62" s="28"/>
      <c r="E62" s="28" t="str">
        <f>ResultadosObtidos!B59</f>
        <v/>
      </c>
      <c r="F62" s="28" t="str">
        <f>IFERROR(IF(DesvioPercentual!C59&lt;&gt;"",SUBSTITUTE(TEXT(DesvioPercentual!C59,$F$2),".",","),""),"")</f>
        <v/>
      </c>
      <c r="G62" s="28" t="str">
        <f>IFERROR(IF(DesvioPercentual!D59&lt;&gt;"",SUBSTITUTE(TEXT(DesvioPercentual!D59,$F$3),".",","),""),"")</f>
        <v/>
      </c>
      <c r="H62" s="28" t="str">
        <f>IFERROR(IF(DesvioPercentual!E59&lt;&gt;"",SUBSTITUTE(TEXT(DesvioPercentual!E59,$F$3),".",","),""),"")</f>
        <v/>
      </c>
      <c r="I62" s="28" t="str">
        <f>IFERROR(IF(DesvioPercentual!F59&lt;&gt;"",SUBSTITUTE(TEXT(DesvioPercentual!F59,$F$3),".",","),""),"")</f>
        <v/>
      </c>
      <c r="J62" s="28" t="str">
        <f>IFERROR(IF(DesvioPercentual!G59&lt;&gt;"",SUBSTITUTE(TEXT(DesvioPercentual!G59,$F$3),".",","),""),"")</f>
        <v/>
      </c>
      <c r="K62" s="28" t="str">
        <f>IFERROR(IF(DesvioPercentual!H59&lt;&gt;"",SUBSTITUTE(TEXT(DesvioPercentual!H59,$F$3),".",","),""),"")</f>
        <v/>
      </c>
      <c r="L62" s="28" t="str">
        <f>IFERROR(IF(DesvioPercentual!I59&lt;&gt;"",SUBSTITUTE(TEXT(DesvioPercentual!I59,$F$3),".",","),""),"")</f>
        <v/>
      </c>
      <c r="M62" s="28"/>
      <c r="N62" s="28" t="str">
        <f t="shared" si="3"/>
        <v> &amp; </v>
      </c>
      <c r="O62" s="28" t="str">
        <f>IF(G62="","",CONCATENATE(IF(ResultadosObtidos!D59=ResultadosObtidos!$C59,"\textbf{",""),G62," \% ",IF(ResultadosObtidos!D59=ResultadosObtidos!$C59,"} &amp; "," &amp; ")))</f>
        <v/>
      </c>
      <c r="P62" s="28" t="str">
        <f>IF(H62="","",CONCATENATE(IF(ResultadosObtidos!E59=ResultadosObtidos!$C59,"\textbf{",""),H62," \% ",IF(ResultadosObtidos!E59=ResultadosObtidos!$C59,"} &amp; "," &amp; ")))</f>
        <v/>
      </c>
      <c r="Q62" s="28" t="str">
        <f>IF(I62="","",CONCATENATE(IF(ResultadosObtidos!F59=ResultadosObtidos!$C59,"\textbf{",""),I62," \% ",IF(ResultadosObtidos!F59=ResultadosObtidos!$C59,"} &amp; "," &amp; ")))</f>
        <v/>
      </c>
      <c r="R62" s="28" t="str">
        <f>IF(J62="","",CONCATENATE(IF(ResultadosObtidos!G59=ResultadosObtidos!$C59,"\textbf{",""),J62," \% ",IF(ResultadosObtidos!G59=ResultadosObtidos!$C59,"} &amp; "," &amp; ")))</f>
        <v/>
      </c>
      <c r="S62" s="28" t="str">
        <f>IF(K62="","",CONCATENATE(IF(ResultadosObtidos!H59=ResultadosObtidos!$C59,"\textbf{",""),K62," \% ",IF(ResultadosObtidos!H59=ResultadosObtidos!$C59,"} &amp; "," &amp; ")))</f>
        <v/>
      </c>
      <c r="T62" s="28" t="str">
        <f>IF(L62="","",CONCATENATE(IF(ResultadosObtidos!I59=ResultadosObtidos!$C59,"\textbf{",""),L62," \% ",IF(ResultadosObtidos!I59=ResultadosObtidos!$C59,"} \\ "," \\ ")))</f>
        <v/>
      </c>
      <c r="U62" s="28"/>
      <c r="V62" s="28"/>
      <c r="W62" s="28"/>
      <c r="X62" s="28"/>
      <c r="Y62" s="28"/>
      <c r="Z62" s="28"/>
    </row>
    <row r="63" ht="15.75" customHeight="1">
      <c r="A63" s="36"/>
      <c r="C63" s="28"/>
      <c r="D63" s="28"/>
      <c r="E63" s="28" t="str">
        <f>ResultadosObtidos!B60</f>
        <v/>
      </c>
      <c r="F63" s="28" t="str">
        <f>IFERROR(IF(DesvioPercentual!C60&lt;&gt;"",SUBSTITUTE(TEXT(DesvioPercentual!C60,$F$2),".",","),""),"")</f>
        <v/>
      </c>
      <c r="G63" s="28" t="str">
        <f>IFERROR(IF(DesvioPercentual!D60&lt;&gt;"",SUBSTITUTE(TEXT(DesvioPercentual!D60,$F$3),".",","),""),"")</f>
        <v/>
      </c>
      <c r="H63" s="28" t="str">
        <f>IFERROR(IF(DesvioPercentual!E60&lt;&gt;"",SUBSTITUTE(TEXT(DesvioPercentual!E60,$F$3),".",","),""),"")</f>
        <v/>
      </c>
      <c r="I63" s="28" t="str">
        <f>IFERROR(IF(DesvioPercentual!F60&lt;&gt;"",SUBSTITUTE(TEXT(DesvioPercentual!F60,$F$3),".",","),""),"")</f>
        <v/>
      </c>
      <c r="J63" s="28" t="str">
        <f>IFERROR(IF(DesvioPercentual!G60&lt;&gt;"",SUBSTITUTE(TEXT(DesvioPercentual!G60,$F$3),".",","),""),"")</f>
        <v/>
      </c>
      <c r="K63" s="28" t="str">
        <f>IFERROR(IF(DesvioPercentual!H60&lt;&gt;"",SUBSTITUTE(TEXT(DesvioPercentual!H60,$F$3),".",","),""),"")</f>
        <v/>
      </c>
      <c r="L63" s="28" t="str">
        <f>IFERROR(IF(DesvioPercentual!I60&lt;&gt;"",SUBSTITUTE(TEXT(DesvioPercentual!I60,$F$3),".",","),""),"")</f>
        <v/>
      </c>
      <c r="M63" s="28"/>
      <c r="N63" s="28" t="str">
        <f t="shared" si="3"/>
        <v> &amp; </v>
      </c>
      <c r="O63" s="28" t="str">
        <f>IF(G63="","",CONCATENATE(IF(ResultadosObtidos!D60=ResultadosObtidos!$C60,"\textbf{",""),G63," \% ",IF(ResultadosObtidos!D60=ResultadosObtidos!$C60,"} &amp; "," &amp; ")))</f>
        <v/>
      </c>
      <c r="P63" s="28" t="str">
        <f>IF(H63="","",CONCATENATE(IF(ResultadosObtidos!E60=ResultadosObtidos!$C60,"\textbf{",""),H63," \% ",IF(ResultadosObtidos!E60=ResultadosObtidos!$C60,"} &amp; "," &amp; ")))</f>
        <v/>
      </c>
      <c r="Q63" s="28" t="str">
        <f>IF(I63="","",CONCATENATE(IF(ResultadosObtidos!F60=ResultadosObtidos!$C60,"\textbf{",""),I63," \% ",IF(ResultadosObtidos!F60=ResultadosObtidos!$C60,"} &amp; "," &amp; ")))</f>
        <v/>
      </c>
      <c r="R63" s="28" t="str">
        <f>IF(J63="","",CONCATENATE(IF(ResultadosObtidos!G60=ResultadosObtidos!$C60,"\textbf{",""),J63," \% ",IF(ResultadosObtidos!G60=ResultadosObtidos!$C60,"} &amp; "," &amp; ")))</f>
        <v/>
      </c>
      <c r="S63" s="28" t="str">
        <f>IF(K63="","",CONCATENATE(IF(ResultadosObtidos!H60=ResultadosObtidos!$C60,"\textbf{",""),K63," \% ",IF(ResultadosObtidos!H60=ResultadosObtidos!$C60,"} &amp; "," &amp; ")))</f>
        <v/>
      </c>
      <c r="T63" s="28" t="str">
        <f>IF(L63="","",CONCATENATE(IF(ResultadosObtidos!I60=ResultadosObtidos!$C60,"\textbf{",""),L63," \% ",IF(ResultadosObtidos!I60=ResultadosObtidos!$C60,"} \\ "," \\ ")))</f>
        <v/>
      </c>
      <c r="U63" s="28"/>
      <c r="V63" s="28"/>
      <c r="W63" s="28"/>
      <c r="X63" s="28"/>
      <c r="Y63" s="28"/>
      <c r="Z63" s="28"/>
    </row>
    <row r="64" ht="15.75" customHeight="1">
      <c r="A64" s="36"/>
      <c r="C64" s="28"/>
      <c r="D64" s="28"/>
      <c r="E64" s="28" t="str">
        <f>ResultadosObtidos!B61</f>
        <v/>
      </c>
      <c r="F64" s="28" t="str">
        <f>IFERROR(IF(DesvioPercentual!C61&lt;&gt;"",SUBSTITUTE(TEXT(DesvioPercentual!C61,$F$2),".",","),""),"")</f>
        <v/>
      </c>
      <c r="G64" s="28" t="str">
        <f>IFERROR(IF(DesvioPercentual!D61&lt;&gt;"",SUBSTITUTE(TEXT(DesvioPercentual!D61,$F$3),".",","),""),"")</f>
        <v/>
      </c>
      <c r="H64" s="28" t="str">
        <f>IFERROR(IF(DesvioPercentual!E61&lt;&gt;"",SUBSTITUTE(TEXT(DesvioPercentual!E61,$F$3),".",","),""),"")</f>
        <v/>
      </c>
      <c r="I64" s="28" t="str">
        <f>IFERROR(IF(DesvioPercentual!F61&lt;&gt;"",SUBSTITUTE(TEXT(DesvioPercentual!F61,$F$3),".",","),""),"")</f>
        <v/>
      </c>
      <c r="J64" s="28" t="str">
        <f>IFERROR(IF(DesvioPercentual!G61&lt;&gt;"",SUBSTITUTE(TEXT(DesvioPercentual!G61,$F$3),".",","),""),"")</f>
        <v/>
      </c>
      <c r="K64" s="28" t="str">
        <f>IFERROR(IF(DesvioPercentual!H61&lt;&gt;"",SUBSTITUTE(TEXT(DesvioPercentual!H61,$F$3),".",","),""),"")</f>
        <v/>
      </c>
      <c r="L64" s="28" t="str">
        <f>IFERROR(IF(DesvioPercentual!I61&lt;&gt;"",SUBSTITUTE(TEXT(DesvioPercentual!I61,$F$3),".",","),""),"")</f>
        <v/>
      </c>
      <c r="M64" s="28"/>
      <c r="N64" s="28" t="str">
        <f t="shared" si="3"/>
        <v> &amp; </v>
      </c>
      <c r="O64" s="28" t="str">
        <f>IF(G64="","",CONCATENATE(IF(ResultadosObtidos!D61=ResultadosObtidos!$C61,"\textbf{",""),G64," \% ",IF(ResultadosObtidos!D61=ResultadosObtidos!$C61,"} &amp; "," &amp; ")))</f>
        <v/>
      </c>
      <c r="P64" s="28" t="str">
        <f>IF(H64="","",CONCATENATE(IF(ResultadosObtidos!E61=ResultadosObtidos!$C61,"\textbf{",""),H64," \% ",IF(ResultadosObtidos!E61=ResultadosObtidos!$C61,"} &amp; "," &amp; ")))</f>
        <v/>
      </c>
      <c r="Q64" s="28" t="str">
        <f>IF(I64="","",CONCATENATE(IF(ResultadosObtidos!F61=ResultadosObtidos!$C61,"\textbf{",""),I64," \% ",IF(ResultadosObtidos!F61=ResultadosObtidos!$C61,"} &amp; "," &amp; ")))</f>
        <v/>
      </c>
      <c r="R64" s="28" t="str">
        <f>IF(J64="","",CONCATENATE(IF(ResultadosObtidos!G61=ResultadosObtidos!$C61,"\textbf{",""),J64," \% ",IF(ResultadosObtidos!G61=ResultadosObtidos!$C61,"} &amp; "," &amp; ")))</f>
        <v/>
      </c>
      <c r="S64" s="28" t="str">
        <f>IF(K64="","",CONCATENATE(IF(ResultadosObtidos!H61=ResultadosObtidos!$C61,"\textbf{",""),K64," \% ",IF(ResultadosObtidos!H61=ResultadosObtidos!$C61,"} &amp; "," &amp; ")))</f>
        <v/>
      </c>
      <c r="T64" s="28" t="str">
        <f>IF(L64="","",CONCATENATE(IF(ResultadosObtidos!I61=ResultadosObtidos!$C61,"\textbf{",""),L64," \% ",IF(ResultadosObtidos!I61=ResultadosObtidos!$C61,"} \\ "," \\ ")))</f>
        <v/>
      </c>
      <c r="U64" s="28"/>
      <c r="V64" s="28"/>
      <c r="W64" s="28"/>
      <c r="X64" s="28"/>
      <c r="Y64" s="28"/>
      <c r="Z64" s="28"/>
    </row>
    <row r="65" ht="15.75" customHeight="1">
      <c r="A65" s="36"/>
      <c r="C65" s="28"/>
      <c r="D65" s="28"/>
      <c r="E65" s="28" t="str">
        <f>ResultadosObtidos!B62</f>
        <v/>
      </c>
      <c r="F65" s="28" t="str">
        <f>IFERROR(IF(DesvioPercentual!C62&lt;&gt;"",SUBSTITUTE(TEXT(DesvioPercentual!C62,$F$2),".",","),""),"")</f>
        <v/>
      </c>
      <c r="G65" s="28" t="str">
        <f>IFERROR(IF(DesvioPercentual!D62&lt;&gt;"",SUBSTITUTE(TEXT(DesvioPercentual!D62,$F$3),".",","),""),"")</f>
        <v/>
      </c>
      <c r="H65" s="28" t="str">
        <f>IFERROR(IF(DesvioPercentual!E62&lt;&gt;"",SUBSTITUTE(TEXT(DesvioPercentual!E62,$F$3),".",","),""),"")</f>
        <v/>
      </c>
      <c r="I65" s="28" t="str">
        <f>IFERROR(IF(DesvioPercentual!F62&lt;&gt;"",SUBSTITUTE(TEXT(DesvioPercentual!F62,$F$3),".",","),""),"")</f>
        <v/>
      </c>
      <c r="J65" s="28" t="str">
        <f>IFERROR(IF(DesvioPercentual!G62&lt;&gt;"",SUBSTITUTE(TEXT(DesvioPercentual!G62,$F$3),".",","),""),"")</f>
        <v/>
      </c>
      <c r="K65" s="28" t="str">
        <f>IFERROR(IF(DesvioPercentual!H62&lt;&gt;"",SUBSTITUTE(TEXT(DesvioPercentual!H62,$F$3),".",","),""),"")</f>
        <v/>
      </c>
      <c r="L65" s="28" t="str">
        <f>IFERROR(IF(DesvioPercentual!I62&lt;&gt;"",SUBSTITUTE(TEXT(DesvioPercentual!I62,$F$3),".",","),""),"")</f>
        <v/>
      </c>
      <c r="M65" s="28"/>
      <c r="N65" s="28" t="str">
        <f t="shared" si="3"/>
        <v> &amp; </v>
      </c>
      <c r="O65" s="28" t="str">
        <f>IF(G65="","",CONCATENATE(IF(ResultadosObtidos!D62=ResultadosObtidos!$C62,"\textbf{",""),G65," \% ",IF(ResultadosObtidos!D62=ResultadosObtidos!$C62,"} &amp; "," &amp; ")))</f>
        <v/>
      </c>
      <c r="P65" s="28" t="str">
        <f>IF(H65="","",CONCATENATE(IF(ResultadosObtidos!E62=ResultadosObtidos!$C62,"\textbf{",""),H65," \% ",IF(ResultadosObtidos!E62=ResultadosObtidos!$C62,"} &amp; "," &amp; ")))</f>
        <v/>
      </c>
      <c r="Q65" s="28" t="str">
        <f>IF(I65="","",CONCATENATE(IF(ResultadosObtidos!F62=ResultadosObtidos!$C62,"\textbf{",""),I65," \% ",IF(ResultadosObtidos!F62=ResultadosObtidos!$C62,"} &amp; "," &amp; ")))</f>
        <v/>
      </c>
      <c r="R65" s="28" t="str">
        <f>IF(J65="","",CONCATENATE(IF(ResultadosObtidos!G62=ResultadosObtidos!$C62,"\textbf{",""),J65," \% ",IF(ResultadosObtidos!G62=ResultadosObtidos!$C62,"} &amp; "," &amp; ")))</f>
        <v/>
      </c>
      <c r="S65" s="28" t="str">
        <f>IF(K65="","",CONCATENATE(IF(ResultadosObtidos!H62=ResultadosObtidos!$C62,"\textbf{",""),K65," \% ",IF(ResultadosObtidos!H62=ResultadosObtidos!$C62,"} &amp; "," &amp; ")))</f>
        <v/>
      </c>
      <c r="T65" s="28" t="str">
        <f>IF(L65="","",CONCATENATE(IF(ResultadosObtidos!I62=ResultadosObtidos!$C62,"\textbf{",""),L65," \% ",IF(ResultadosObtidos!I62=ResultadosObtidos!$C62,"} \\ "," \\ ")))</f>
        <v/>
      </c>
      <c r="U65" s="28"/>
      <c r="V65" s="28"/>
      <c r="W65" s="28"/>
      <c r="X65" s="28"/>
      <c r="Y65" s="28"/>
      <c r="Z65" s="28"/>
    </row>
    <row r="66" ht="15.75" customHeight="1">
      <c r="A66" s="36"/>
      <c r="C66" s="28"/>
      <c r="D66" s="28"/>
      <c r="E66" s="28" t="str">
        <f>ResultadosObtidos!B63</f>
        <v/>
      </c>
      <c r="F66" s="28" t="str">
        <f>IFERROR(IF(DesvioPercentual!C63&lt;&gt;"",SUBSTITUTE(TEXT(DesvioPercentual!C63,$F$2),".",","),""),"")</f>
        <v/>
      </c>
      <c r="G66" s="28" t="str">
        <f>IFERROR(IF(DesvioPercentual!D63&lt;&gt;"",SUBSTITUTE(TEXT(DesvioPercentual!D63,$F$3),".",","),""),"")</f>
        <v/>
      </c>
      <c r="H66" s="28" t="str">
        <f>IFERROR(IF(DesvioPercentual!E63&lt;&gt;"",SUBSTITUTE(TEXT(DesvioPercentual!E63,$F$3),".",","),""),"")</f>
        <v/>
      </c>
      <c r="I66" s="28" t="str">
        <f>IFERROR(IF(DesvioPercentual!F63&lt;&gt;"",SUBSTITUTE(TEXT(DesvioPercentual!F63,$F$3),".",","),""),"")</f>
        <v/>
      </c>
      <c r="J66" s="28" t="str">
        <f>IFERROR(IF(DesvioPercentual!G63&lt;&gt;"",SUBSTITUTE(TEXT(DesvioPercentual!G63,$F$3),".",","),""),"")</f>
        <v/>
      </c>
      <c r="K66" s="28" t="str">
        <f>IFERROR(IF(DesvioPercentual!H63&lt;&gt;"",SUBSTITUTE(TEXT(DesvioPercentual!H63,$F$3),".",","),""),"")</f>
        <v/>
      </c>
      <c r="L66" s="28" t="str">
        <f>IFERROR(IF(DesvioPercentual!I63&lt;&gt;"",SUBSTITUTE(TEXT(DesvioPercentual!I63,$F$3),".",","),""),"")</f>
        <v/>
      </c>
      <c r="M66" s="28"/>
      <c r="N66" s="28" t="str">
        <f t="shared" si="3"/>
        <v> &amp; </v>
      </c>
      <c r="O66" s="28" t="str">
        <f>IF(G66="","",CONCATENATE(IF(ResultadosObtidos!D63=ResultadosObtidos!$C63,"\textbf{",""),G66," \% ",IF(ResultadosObtidos!D63=ResultadosObtidos!$C63,"} &amp; "," &amp; ")))</f>
        <v/>
      </c>
      <c r="P66" s="28" t="str">
        <f>IF(H66="","",CONCATENATE(IF(ResultadosObtidos!E63=ResultadosObtidos!$C63,"\textbf{",""),H66," \% ",IF(ResultadosObtidos!E63=ResultadosObtidos!$C63,"} &amp; "," &amp; ")))</f>
        <v/>
      </c>
      <c r="Q66" s="28" t="str">
        <f>IF(I66="","",CONCATENATE(IF(ResultadosObtidos!F63=ResultadosObtidos!$C63,"\textbf{",""),I66," \% ",IF(ResultadosObtidos!F63=ResultadosObtidos!$C63,"} &amp; "," &amp; ")))</f>
        <v/>
      </c>
      <c r="R66" s="28" t="str">
        <f>IF(J66="","",CONCATENATE(IF(ResultadosObtidos!G63=ResultadosObtidos!$C63,"\textbf{",""),J66," \% ",IF(ResultadosObtidos!G63=ResultadosObtidos!$C63,"} &amp; "," &amp; ")))</f>
        <v/>
      </c>
      <c r="S66" s="28" t="str">
        <f>IF(K66="","",CONCATENATE(IF(ResultadosObtidos!H63=ResultadosObtidos!$C63,"\textbf{",""),K66," \% ",IF(ResultadosObtidos!H63=ResultadosObtidos!$C63,"} &amp; "," &amp; ")))</f>
        <v/>
      </c>
      <c r="T66" s="28" t="str">
        <f>IF(L66="","",CONCATENATE(IF(ResultadosObtidos!I63=ResultadosObtidos!$C63,"\textbf{",""),L66," \% ",IF(ResultadosObtidos!I63=ResultadosObtidos!$C63,"} \\ "," \\ ")))</f>
        <v/>
      </c>
      <c r="U66" s="28"/>
      <c r="V66" s="28"/>
      <c r="W66" s="28"/>
      <c r="X66" s="28"/>
      <c r="Y66" s="28"/>
      <c r="Z66" s="28"/>
    </row>
    <row r="67" ht="15.75" customHeight="1">
      <c r="A67" s="36"/>
      <c r="C67" s="28"/>
      <c r="D67" s="28"/>
      <c r="E67" s="28" t="str">
        <f>ResultadosObtidos!B64</f>
        <v/>
      </c>
      <c r="F67" s="28" t="str">
        <f>IFERROR(IF(DesvioPercentual!C64&lt;&gt;"",SUBSTITUTE(TEXT(DesvioPercentual!C64,$F$2),".",","),""),"")</f>
        <v/>
      </c>
      <c r="G67" s="28" t="str">
        <f>IFERROR(IF(DesvioPercentual!D64&lt;&gt;"",SUBSTITUTE(TEXT(DesvioPercentual!D64,$F$3),".",","),""),"")</f>
        <v/>
      </c>
      <c r="H67" s="28" t="str">
        <f>IFERROR(IF(DesvioPercentual!E64&lt;&gt;"",SUBSTITUTE(TEXT(DesvioPercentual!E64,$F$3),".",","),""),"")</f>
        <v/>
      </c>
      <c r="I67" s="28" t="str">
        <f>IFERROR(IF(DesvioPercentual!F64&lt;&gt;"",SUBSTITUTE(TEXT(DesvioPercentual!F64,$F$3),".",","),""),"")</f>
        <v/>
      </c>
      <c r="J67" s="28" t="str">
        <f>IFERROR(IF(DesvioPercentual!G64&lt;&gt;"",SUBSTITUTE(TEXT(DesvioPercentual!G64,$F$3),".",","),""),"")</f>
        <v/>
      </c>
      <c r="K67" s="28" t="str">
        <f>IFERROR(IF(DesvioPercentual!H64&lt;&gt;"",SUBSTITUTE(TEXT(DesvioPercentual!H64,$F$3),".",","),""),"")</f>
        <v/>
      </c>
      <c r="L67" s="28" t="str">
        <f>IFERROR(IF(DesvioPercentual!I64&lt;&gt;"",SUBSTITUTE(TEXT(DesvioPercentual!I64,$F$3),".",","),""),"")</f>
        <v/>
      </c>
      <c r="M67" s="28"/>
      <c r="N67" s="28" t="str">
        <f t="shared" si="3"/>
        <v> &amp; </v>
      </c>
      <c r="O67" s="28" t="str">
        <f>IF(G67="","",CONCATENATE(IF(ResultadosObtidos!D64=ResultadosObtidos!$C64,"\textbf{",""),G67," \% ",IF(ResultadosObtidos!D64=ResultadosObtidos!$C64,"} &amp; "," &amp; ")))</f>
        <v/>
      </c>
      <c r="P67" s="28" t="str">
        <f>IF(H67="","",CONCATENATE(IF(ResultadosObtidos!E64=ResultadosObtidos!$C64,"\textbf{",""),H67," \% ",IF(ResultadosObtidos!E64=ResultadosObtidos!$C64,"} &amp; "," &amp; ")))</f>
        <v/>
      </c>
      <c r="Q67" s="28" t="str">
        <f>IF(I67="","",CONCATENATE(IF(ResultadosObtidos!F64=ResultadosObtidos!$C64,"\textbf{",""),I67," \% ",IF(ResultadosObtidos!F64=ResultadosObtidos!$C64,"} &amp; "," &amp; ")))</f>
        <v/>
      </c>
      <c r="R67" s="28" t="str">
        <f>IF(J67="","",CONCATENATE(IF(ResultadosObtidos!G64=ResultadosObtidos!$C64,"\textbf{",""),J67," \% ",IF(ResultadosObtidos!G64=ResultadosObtidos!$C64,"} &amp; "," &amp; ")))</f>
        <v/>
      </c>
      <c r="S67" s="28" t="str">
        <f>IF(K67="","",CONCATENATE(IF(ResultadosObtidos!H64=ResultadosObtidos!$C64,"\textbf{",""),K67," \% ",IF(ResultadosObtidos!H64=ResultadosObtidos!$C64,"} &amp; "," &amp; ")))</f>
        <v/>
      </c>
      <c r="T67" s="28" t="str">
        <f>IF(L67="","",CONCATENATE(IF(ResultadosObtidos!I64=ResultadosObtidos!$C64,"\textbf{",""),L67," \% ",IF(ResultadosObtidos!I64=ResultadosObtidos!$C64,"} \\ "," \\ ")))</f>
        <v/>
      </c>
      <c r="U67" s="28"/>
      <c r="V67" s="28"/>
      <c r="W67" s="28"/>
      <c r="X67" s="28"/>
      <c r="Y67" s="28"/>
      <c r="Z67" s="28"/>
    </row>
    <row r="68" ht="15.75" customHeight="1">
      <c r="A68" s="36"/>
      <c r="C68" s="28"/>
      <c r="D68" s="28"/>
      <c r="E68" s="28" t="str">
        <f>ResultadosObtidos!B65</f>
        <v/>
      </c>
      <c r="F68" s="28" t="str">
        <f>IFERROR(IF(DesvioPercentual!C65&lt;&gt;"",SUBSTITUTE(TEXT(DesvioPercentual!C65,$F$2),".",","),""),"")</f>
        <v/>
      </c>
      <c r="G68" s="28" t="str">
        <f>IFERROR(IF(DesvioPercentual!D65&lt;&gt;"",SUBSTITUTE(TEXT(DesvioPercentual!D65,$F$3),".",","),""),"")</f>
        <v/>
      </c>
      <c r="H68" s="28" t="str">
        <f>IFERROR(IF(DesvioPercentual!E65&lt;&gt;"",SUBSTITUTE(TEXT(DesvioPercentual!E65,$F$3),".",","),""),"")</f>
        <v/>
      </c>
      <c r="I68" s="28" t="str">
        <f>IFERROR(IF(DesvioPercentual!F65&lt;&gt;"",SUBSTITUTE(TEXT(DesvioPercentual!F65,$F$3),".",","),""),"")</f>
        <v/>
      </c>
      <c r="J68" s="28" t="str">
        <f>IFERROR(IF(DesvioPercentual!G65&lt;&gt;"",SUBSTITUTE(TEXT(DesvioPercentual!G65,$F$3),".",","),""),"")</f>
        <v/>
      </c>
      <c r="K68" s="28" t="str">
        <f>IFERROR(IF(DesvioPercentual!H65&lt;&gt;"",SUBSTITUTE(TEXT(DesvioPercentual!H65,$F$3),".",","),""),"")</f>
        <v/>
      </c>
      <c r="L68" s="28" t="str">
        <f>IFERROR(IF(DesvioPercentual!I65&lt;&gt;"",SUBSTITUTE(TEXT(DesvioPercentual!I65,$F$3),".",","),""),"")</f>
        <v/>
      </c>
      <c r="M68" s="28"/>
      <c r="N68" s="28" t="str">
        <f t="shared" si="3"/>
        <v> &amp; </v>
      </c>
      <c r="O68" s="28" t="str">
        <f>IF(G68="","",CONCATENATE(IF(ResultadosObtidos!D65=ResultadosObtidos!$C65,"\textbf{",""),G68," \% ",IF(ResultadosObtidos!D65=ResultadosObtidos!$C65,"} &amp; "," &amp; ")))</f>
        <v/>
      </c>
      <c r="P68" s="28" t="str">
        <f>IF(H68="","",CONCATENATE(IF(ResultadosObtidos!E65=ResultadosObtidos!$C65,"\textbf{",""),H68," \% ",IF(ResultadosObtidos!E65=ResultadosObtidos!$C65,"} &amp; "," &amp; ")))</f>
        <v/>
      </c>
      <c r="Q68" s="28" t="str">
        <f>IF(I68="","",CONCATENATE(IF(ResultadosObtidos!F65=ResultadosObtidos!$C65,"\textbf{",""),I68," \% ",IF(ResultadosObtidos!F65=ResultadosObtidos!$C65,"} &amp; "," &amp; ")))</f>
        <v/>
      </c>
      <c r="R68" s="28" t="str">
        <f>IF(J68="","",CONCATENATE(IF(ResultadosObtidos!G65=ResultadosObtidos!$C65,"\textbf{",""),J68," \% ",IF(ResultadosObtidos!G65=ResultadosObtidos!$C65,"} &amp; "," &amp; ")))</f>
        <v/>
      </c>
      <c r="S68" s="28" t="str">
        <f>IF(K68="","",CONCATENATE(IF(ResultadosObtidos!H65=ResultadosObtidos!$C65,"\textbf{",""),K68," \% ",IF(ResultadosObtidos!H65=ResultadosObtidos!$C65,"} &amp; "," &amp; ")))</f>
        <v/>
      </c>
      <c r="T68" s="28" t="str">
        <f>IF(L68="","",CONCATENATE(IF(ResultadosObtidos!I65=ResultadosObtidos!$C65,"\textbf{",""),L68," \% ",IF(ResultadosObtidos!I65=ResultadosObtidos!$C65,"} \\ "," \\ ")))</f>
        <v/>
      </c>
      <c r="U68" s="28"/>
      <c r="V68" s="28"/>
      <c r="W68" s="28"/>
      <c r="X68" s="28"/>
      <c r="Y68" s="28"/>
      <c r="Z68" s="28"/>
    </row>
    <row r="69" ht="15.75" customHeight="1">
      <c r="A69" s="36"/>
      <c r="C69" s="28"/>
      <c r="D69" s="28"/>
      <c r="E69" s="28" t="str">
        <f>ResultadosObtidos!B66</f>
        <v/>
      </c>
      <c r="F69" s="28" t="str">
        <f>IFERROR(IF(DesvioPercentual!C66&lt;&gt;"",SUBSTITUTE(TEXT(DesvioPercentual!C66,$F$2),".",","),""),"")</f>
        <v/>
      </c>
      <c r="G69" s="28" t="str">
        <f>IFERROR(IF(DesvioPercentual!D66&lt;&gt;"",SUBSTITUTE(TEXT(DesvioPercentual!D66,$F$3),".",","),""),"")</f>
        <v/>
      </c>
      <c r="H69" s="28" t="str">
        <f>IFERROR(IF(DesvioPercentual!E66&lt;&gt;"",SUBSTITUTE(TEXT(DesvioPercentual!E66,$F$3),".",","),""),"")</f>
        <v/>
      </c>
      <c r="I69" s="28" t="str">
        <f>IFERROR(IF(DesvioPercentual!F66&lt;&gt;"",SUBSTITUTE(TEXT(DesvioPercentual!F66,$F$3),".",","),""),"")</f>
        <v/>
      </c>
      <c r="J69" s="28" t="str">
        <f>IFERROR(IF(DesvioPercentual!G66&lt;&gt;"",SUBSTITUTE(TEXT(DesvioPercentual!G66,$F$3),".",","),""),"")</f>
        <v/>
      </c>
      <c r="K69" s="28" t="str">
        <f>IFERROR(IF(DesvioPercentual!H66&lt;&gt;"",SUBSTITUTE(TEXT(DesvioPercentual!H66,$F$3),".",","),""),"")</f>
        <v/>
      </c>
      <c r="L69" s="28" t="str">
        <f>IFERROR(IF(DesvioPercentual!I66&lt;&gt;"",SUBSTITUTE(TEXT(DesvioPercentual!I66,$F$3),".",","),""),"")</f>
        <v/>
      </c>
      <c r="M69" s="28"/>
      <c r="N69" s="28" t="str">
        <f t="shared" si="3"/>
        <v> &amp; </v>
      </c>
      <c r="O69" s="28" t="str">
        <f>IF(G69="","",CONCATENATE(IF(ResultadosObtidos!D66=ResultadosObtidos!$C66,"\textbf{",""),G69," \% ",IF(ResultadosObtidos!D66=ResultadosObtidos!$C66,"} &amp; "," &amp; ")))</f>
        <v/>
      </c>
      <c r="P69" s="28" t="str">
        <f>IF(H69="","",CONCATENATE(IF(ResultadosObtidos!E66=ResultadosObtidos!$C66,"\textbf{",""),H69," \% ",IF(ResultadosObtidos!E66=ResultadosObtidos!$C66,"} &amp; "," &amp; ")))</f>
        <v/>
      </c>
      <c r="Q69" s="28" t="str">
        <f>IF(I69="","",CONCATENATE(IF(ResultadosObtidos!F66=ResultadosObtidos!$C66,"\textbf{",""),I69," \% ",IF(ResultadosObtidos!F66=ResultadosObtidos!$C66,"} &amp; "," &amp; ")))</f>
        <v/>
      </c>
      <c r="R69" s="28" t="str">
        <f>IF(J69="","",CONCATENATE(IF(ResultadosObtidos!G66=ResultadosObtidos!$C66,"\textbf{",""),J69," \% ",IF(ResultadosObtidos!G66=ResultadosObtidos!$C66,"} &amp; "," &amp; ")))</f>
        <v/>
      </c>
      <c r="S69" s="28" t="str">
        <f>IF(K69="","",CONCATENATE(IF(ResultadosObtidos!H66=ResultadosObtidos!$C66,"\textbf{",""),K69," \% ",IF(ResultadosObtidos!H66=ResultadosObtidos!$C66,"} &amp; "," &amp; ")))</f>
        <v/>
      </c>
      <c r="T69" s="28" t="str">
        <f>IF(L69="","",CONCATENATE(IF(ResultadosObtidos!I66=ResultadosObtidos!$C66,"\textbf{",""),L69," \% ",IF(ResultadosObtidos!I66=ResultadosObtidos!$C66,"} \\ "," \\ ")))</f>
        <v/>
      </c>
      <c r="U69" s="28"/>
      <c r="V69" s="28"/>
      <c r="W69" s="28"/>
      <c r="X69" s="28"/>
      <c r="Y69" s="28"/>
      <c r="Z69" s="28"/>
    </row>
    <row r="70" ht="15.75" customHeight="1">
      <c r="A70" s="36"/>
      <c r="C70" s="28"/>
      <c r="D70" s="28"/>
      <c r="E70" s="28" t="str">
        <f>ResultadosObtidos!B67</f>
        <v/>
      </c>
      <c r="F70" s="28" t="str">
        <f>IFERROR(IF(DesvioPercentual!C67&lt;&gt;"",SUBSTITUTE(TEXT(DesvioPercentual!C67,$F$2),".",","),""),"")</f>
        <v/>
      </c>
      <c r="G70" s="28" t="str">
        <f>IFERROR(IF(DesvioPercentual!D67&lt;&gt;"",SUBSTITUTE(TEXT(DesvioPercentual!D67,$F$3),".",","),""),"")</f>
        <v/>
      </c>
      <c r="H70" s="28" t="str">
        <f>IFERROR(IF(DesvioPercentual!E67&lt;&gt;"",SUBSTITUTE(TEXT(DesvioPercentual!E67,$F$3),".",","),""),"")</f>
        <v/>
      </c>
      <c r="I70" s="28" t="str">
        <f>IFERROR(IF(DesvioPercentual!F67&lt;&gt;"",SUBSTITUTE(TEXT(DesvioPercentual!F67,$F$3),".",","),""),"")</f>
        <v/>
      </c>
      <c r="J70" s="28" t="str">
        <f>IFERROR(IF(DesvioPercentual!G67&lt;&gt;"",SUBSTITUTE(TEXT(DesvioPercentual!G67,$F$3),".",","),""),"")</f>
        <v/>
      </c>
      <c r="K70" s="28" t="str">
        <f>IFERROR(IF(DesvioPercentual!H67&lt;&gt;"",SUBSTITUTE(TEXT(DesvioPercentual!H67,$F$3),".",","),""),"")</f>
        <v/>
      </c>
      <c r="L70" s="28" t="str">
        <f>IFERROR(IF(DesvioPercentual!I67&lt;&gt;"",SUBSTITUTE(TEXT(DesvioPercentual!I67,$F$3),".",","),""),"")</f>
        <v/>
      </c>
      <c r="M70" s="28"/>
      <c r="N70" s="28" t="str">
        <f t="shared" si="3"/>
        <v> &amp; </v>
      </c>
      <c r="O70" s="28" t="str">
        <f>IF(G70="","",CONCATENATE(IF(ResultadosObtidos!D67=ResultadosObtidos!$C67,"\textbf{",""),G70," \% ",IF(ResultadosObtidos!D67=ResultadosObtidos!$C67,"} &amp; "," &amp; ")))</f>
        <v/>
      </c>
      <c r="P70" s="28" t="str">
        <f>IF(H70="","",CONCATENATE(IF(ResultadosObtidos!E67=ResultadosObtidos!$C67,"\textbf{",""),H70," \% ",IF(ResultadosObtidos!E67=ResultadosObtidos!$C67,"} &amp; "," &amp; ")))</f>
        <v/>
      </c>
      <c r="Q70" s="28" t="str">
        <f>IF(I70="","",CONCATENATE(IF(ResultadosObtidos!F67=ResultadosObtidos!$C67,"\textbf{",""),I70," \% ",IF(ResultadosObtidos!F67=ResultadosObtidos!$C67,"} &amp; "," &amp; ")))</f>
        <v/>
      </c>
      <c r="R70" s="28" t="str">
        <f>IF(J70="","",CONCATENATE(IF(ResultadosObtidos!G67=ResultadosObtidos!$C67,"\textbf{",""),J70," \% ",IF(ResultadosObtidos!G67=ResultadosObtidos!$C67,"} &amp; "," &amp; ")))</f>
        <v/>
      </c>
      <c r="S70" s="28" t="str">
        <f>IF(K70="","",CONCATENATE(IF(ResultadosObtidos!H67=ResultadosObtidos!$C67,"\textbf{",""),K70," \% ",IF(ResultadosObtidos!H67=ResultadosObtidos!$C67,"} &amp; "," &amp; ")))</f>
        <v/>
      </c>
      <c r="T70" s="28" t="str">
        <f>IF(L70="","",CONCATENATE(IF(ResultadosObtidos!I67=ResultadosObtidos!$C67,"\textbf{",""),L70," \% ",IF(ResultadosObtidos!I67=ResultadosObtidos!$C67,"} \\ "," \\ ")))</f>
        <v/>
      </c>
      <c r="U70" s="28"/>
      <c r="V70" s="28"/>
      <c r="W70" s="28"/>
      <c r="X70" s="28"/>
      <c r="Y70" s="28"/>
      <c r="Z70" s="28"/>
    </row>
    <row r="71" ht="15.75" customHeight="1">
      <c r="A71" s="36"/>
      <c r="C71" s="28"/>
      <c r="D71" s="28"/>
      <c r="E71" s="28" t="str">
        <f>ResultadosObtidos!B68</f>
        <v/>
      </c>
      <c r="F71" s="28" t="str">
        <f>IFERROR(IF(DesvioPercentual!C68&lt;&gt;"",SUBSTITUTE(TEXT(DesvioPercentual!C68,$F$2),".",","),""),"")</f>
        <v/>
      </c>
      <c r="G71" s="28" t="str">
        <f>IFERROR(IF(DesvioPercentual!D68&lt;&gt;"",SUBSTITUTE(TEXT(DesvioPercentual!D68,$F$3),".",","),""),"")</f>
        <v/>
      </c>
      <c r="H71" s="28" t="str">
        <f>IFERROR(IF(DesvioPercentual!E68&lt;&gt;"",SUBSTITUTE(TEXT(DesvioPercentual!E68,$F$3),".",","),""),"")</f>
        <v/>
      </c>
      <c r="I71" s="28" t="str">
        <f>IFERROR(IF(DesvioPercentual!F68&lt;&gt;"",SUBSTITUTE(TEXT(DesvioPercentual!F68,$F$3),".",","),""),"")</f>
        <v/>
      </c>
      <c r="J71" s="28" t="str">
        <f>IFERROR(IF(DesvioPercentual!G68&lt;&gt;"",SUBSTITUTE(TEXT(DesvioPercentual!G68,$F$3),".",","),""),"")</f>
        <v/>
      </c>
      <c r="K71" s="28" t="str">
        <f>IFERROR(IF(DesvioPercentual!H68&lt;&gt;"",SUBSTITUTE(TEXT(DesvioPercentual!H68,$F$3),".",","),""),"")</f>
        <v/>
      </c>
      <c r="L71" s="28" t="str">
        <f>IFERROR(IF(DesvioPercentual!I68&lt;&gt;"",SUBSTITUTE(TEXT(DesvioPercentual!I68,$F$3),".",","),""),"")</f>
        <v/>
      </c>
      <c r="M71" s="28"/>
      <c r="N71" s="28" t="str">
        <f t="shared" si="3"/>
        <v> &amp; </v>
      </c>
      <c r="O71" s="28" t="str">
        <f>IF(G71="","",CONCATENATE(IF(ResultadosObtidos!D68=ResultadosObtidos!$C68,"\textbf{",""),G71," \% ",IF(ResultadosObtidos!D68=ResultadosObtidos!$C68,"} &amp; "," &amp; ")))</f>
        <v/>
      </c>
      <c r="P71" s="28" t="str">
        <f>IF(H71="","",CONCATENATE(IF(ResultadosObtidos!E68=ResultadosObtidos!$C68,"\textbf{",""),H71," \% ",IF(ResultadosObtidos!E68=ResultadosObtidos!$C68,"} &amp; "," &amp; ")))</f>
        <v/>
      </c>
      <c r="Q71" s="28" t="str">
        <f>IF(I71="","",CONCATENATE(IF(ResultadosObtidos!F68=ResultadosObtidos!$C68,"\textbf{",""),I71," \% ",IF(ResultadosObtidos!F68=ResultadosObtidos!$C68,"} &amp; "," &amp; ")))</f>
        <v/>
      </c>
      <c r="R71" s="28" t="str">
        <f>IF(J71="","",CONCATENATE(IF(ResultadosObtidos!G68=ResultadosObtidos!$C68,"\textbf{",""),J71," \% ",IF(ResultadosObtidos!G68=ResultadosObtidos!$C68,"} &amp; "," &amp; ")))</f>
        <v/>
      </c>
      <c r="S71" s="28" t="str">
        <f>IF(K71="","",CONCATENATE(IF(ResultadosObtidos!H68=ResultadosObtidos!$C68,"\textbf{",""),K71," \% ",IF(ResultadosObtidos!H68=ResultadosObtidos!$C68,"} &amp; "," &amp; ")))</f>
        <v/>
      </c>
      <c r="T71" s="28" t="str">
        <f>IF(L71="","",CONCATENATE(IF(ResultadosObtidos!I68=ResultadosObtidos!$C68,"\textbf{",""),L71," \% ",IF(ResultadosObtidos!I68=ResultadosObtidos!$C68,"} \\ "," \\ ")))</f>
        <v/>
      </c>
      <c r="U71" s="28"/>
      <c r="V71" s="28"/>
      <c r="W71" s="28"/>
      <c r="X71" s="28"/>
      <c r="Y71" s="28"/>
      <c r="Z71" s="28"/>
    </row>
    <row r="72" ht="15.75" customHeight="1">
      <c r="A72" s="36"/>
      <c r="C72" s="28"/>
      <c r="D72" s="28"/>
      <c r="E72" s="28" t="str">
        <f>ResultadosObtidos!B69</f>
        <v/>
      </c>
      <c r="F72" s="28" t="str">
        <f>IFERROR(IF(DesvioPercentual!C69&lt;&gt;"",SUBSTITUTE(TEXT(DesvioPercentual!C69,$F$2),".",","),""),"")</f>
        <v/>
      </c>
      <c r="G72" s="28" t="str">
        <f>IFERROR(IF(DesvioPercentual!D69&lt;&gt;"",SUBSTITUTE(TEXT(DesvioPercentual!D69,$F$3),".",","),""),"")</f>
        <v/>
      </c>
      <c r="H72" s="28" t="str">
        <f>IFERROR(IF(DesvioPercentual!E69&lt;&gt;"",SUBSTITUTE(TEXT(DesvioPercentual!E69,$F$3),".",","),""),"")</f>
        <v/>
      </c>
      <c r="I72" s="28" t="str">
        <f>IFERROR(IF(DesvioPercentual!F69&lt;&gt;"",SUBSTITUTE(TEXT(DesvioPercentual!F69,$F$3),".",","),""),"")</f>
        <v/>
      </c>
      <c r="J72" s="28" t="str">
        <f>IFERROR(IF(DesvioPercentual!G69&lt;&gt;"",SUBSTITUTE(TEXT(DesvioPercentual!G69,$F$3),".",","),""),"")</f>
        <v/>
      </c>
      <c r="K72" s="28" t="str">
        <f>IFERROR(IF(DesvioPercentual!H69&lt;&gt;"",SUBSTITUTE(TEXT(DesvioPercentual!H69,$F$3),".",","),""),"")</f>
        <v/>
      </c>
      <c r="L72" s="28" t="str">
        <f>IFERROR(IF(DesvioPercentual!I69&lt;&gt;"",SUBSTITUTE(TEXT(DesvioPercentual!I69,$F$3),".",","),""),"")</f>
        <v/>
      </c>
      <c r="M72" s="28"/>
      <c r="N72" s="28" t="str">
        <f t="shared" si="3"/>
        <v> &amp; </v>
      </c>
      <c r="O72" s="28" t="str">
        <f>IF(G72="","",CONCATENATE(IF(ResultadosObtidos!D69=ResultadosObtidos!$C69,"\textbf{",""),G72," \% ",IF(ResultadosObtidos!D69=ResultadosObtidos!$C69,"} &amp; "," &amp; ")))</f>
        <v/>
      </c>
      <c r="P72" s="28" t="str">
        <f>IF(H72="","",CONCATENATE(IF(ResultadosObtidos!E69=ResultadosObtidos!$C69,"\textbf{",""),H72," \% ",IF(ResultadosObtidos!E69=ResultadosObtidos!$C69,"} &amp; "," &amp; ")))</f>
        <v/>
      </c>
      <c r="Q72" s="28" t="str">
        <f>IF(I72="","",CONCATENATE(IF(ResultadosObtidos!F69=ResultadosObtidos!$C69,"\textbf{",""),I72," \% ",IF(ResultadosObtidos!F69=ResultadosObtidos!$C69,"} &amp; "," &amp; ")))</f>
        <v/>
      </c>
      <c r="R72" s="28" t="str">
        <f>IF(J72="","",CONCATENATE(IF(ResultadosObtidos!G69=ResultadosObtidos!$C69,"\textbf{",""),J72," \% ",IF(ResultadosObtidos!G69=ResultadosObtidos!$C69,"} &amp; "," &amp; ")))</f>
        <v/>
      </c>
      <c r="S72" s="28" t="str">
        <f>IF(K72="","",CONCATENATE(IF(ResultadosObtidos!H69=ResultadosObtidos!$C69,"\textbf{",""),K72," \% ",IF(ResultadosObtidos!H69=ResultadosObtidos!$C69,"} &amp; "," &amp; ")))</f>
        <v/>
      </c>
      <c r="T72" s="28" t="str">
        <f>IF(L72="","",CONCATENATE(IF(ResultadosObtidos!I69=ResultadosObtidos!$C69,"\textbf{",""),L72," \% ",IF(ResultadosObtidos!I69=ResultadosObtidos!$C69,"} \\ "," \\ ")))</f>
        <v/>
      </c>
      <c r="U72" s="28"/>
      <c r="V72" s="28"/>
      <c r="W72" s="28"/>
      <c r="X72" s="28"/>
      <c r="Y72" s="28"/>
      <c r="Z72" s="28"/>
    </row>
    <row r="73" ht="15.75" customHeight="1">
      <c r="A73" s="36"/>
      <c r="C73" s="28"/>
      <c r="D73" s="28"/>
      <c r="E73" s="28" t="str">
        <f>ResultadosObtidos!B70</f>
        <v/>
      </c>
      <c r="F73" s="28" t="str">
        <f>IFERROR(IF(DesvioPercentual!C70&lt;&gt;"",SUBSTITUTE(TEXT(DesvioPercentual!C70,$F$2),".",","),""),"")</f>
        <v/>
      </c>
      <c r="G73" s="28" t="str">
        <f>IFERROR(IF(DesvioPercentual!D70&lt;&gt;"",SUBSTITUTE(TEXT(DesvioPercentual!D70,$F$3),".",","),""),"")</f>
        <v/>
      </c>
      <c r="H73" s="28" t="str">
        <f>IFERROR(IF(DesvioPercentual!E70&lt;&gt;"",SUBSTITUTE(TEXT(DesvioPercentual!E70,$F$3),".",","),""),"")</f>
        <v/>
      </c>
      <c r="I73" s="28" t="str">
        <f>IFERROR(IF(DesvioPercentual!F70&lt;&gt;"",SUBSTITUTE(TEXT(DesvioPercentual!F70,$F$3),".",","),""),"")</f>
        <v/>
      </c>
      <c r="J73" s="28" t="str">
        <f>IFERROR(IF(DesvioPercentual!G70&lt;&gt;"",SUBSTITUTE(TEXT(DesvioPercentual!G70,$F$3),".",","),""),"")</f>
        <v/>
      </c>
      <c r="K73" s="28" t="str">
        <f>IFERROR(IF(DesvioPercentual!H70&lt;&gt;"",SUBSTITUTE(TEXT(DesvioPercentual!H70,$F$3),".",","),""),"")</f>
        <v/>
      </c>
      <c r="L73" s="28" t="str">
        <f>IFERROR(IF(DesvioPercentual!I70&lt;&gt;"",SUBSTITUTE(TEXT(DesvioPercentual!I70,$F$3),".",","),""),"")</f>
        <v/>
      </c>
      <c r="M73" s="28"/>
      <c r="N73" s="28" t="str">
        <f t="shared" si="3"/>
        <v> &amp; </v>
      </c>
      <c r="O73" s="28" t="str">
        <f>IF(G73="","",CONCATENATE(IF(ResultadosObtidos!D70=ResultadosObtidos!$C70,"\textbf{",""),G73," \% ",IF(ResultadosObtidos!D70=ResultadosObtidos!$C70,"} &amp; "," &amp; ")))</f>
        <v/>
      </c>
      <c r="P73" s="28" t="str">
        <f>IF(H73="","",CONCATENATE(IF(ResultadosObtidos!E70=ResultadosObtidos!$C70,"\textbf{",""),H73," \% ",IF(ResultadosObtidos!E70=ResultadosObtidos!$C70,"} &amp; "," &amp; ")))</f>
        <v/>
      </c>
      <c r="Q73" s="28" t="str">
        <f>IF(I73="","",CONCATENATE(IF(ResultadosObtidos!F70=ResultadosObtidos!$C70,"\textbf{",""),I73," \% ",IF(ResultadosObtidos!F70=ResultadosObtidos!$C70,"} &amp; "," &amp; ")))</f>
        <v/>
      </c>
      <c r="R73" s="28" t="str">
        <f>IF(J73="","",CONCATENATE(IF(ResultadosObtidos!G70=ResultadosObtidos!$C70,"\textbf{",""),J73," \% ",IF(ResultadosObtidos!G70=ResultadosObtidos!$C70,"} &amp; "," &amp; ")))</f>
        <v/>
      </c>
      <c r="S73" s="28" t="str">
        <f>IF(K73="","",CONCATENATE(IF(ResultadosObtidos!H70=ResultadosObtidos!$C70,"\textbf{",""),K73," \% ",IF(ResultadosObtidos!H70=ResultadosObtidos!$C70,"} &amp; "," &amp; ")))</f>
        <v/>
      </c>
      <c r="T73" s="28" t="str">
        <f>IF(L73="","",CONCATENATE(IF(ResultadosObtidos!I70=ResultadosObtidos!$C70,"\textbf{",""),L73," \% ",IF(ResultadosObtidos!I70=ResultadosObtidos!$C70,"} \\ "," \\ ")))</f>
        <v/>
      </c>
      <c r="U73" s="28"/>
      <c r="V73" s="28"/>
      <c r="W73" s="28"/>
      <c r="X73" s="28"/>
      <c r="Y73" s="28"/>
      <c r="Z73" s="28"/>
    </row>
    <row r="74" ht="15.75" customHeight="1">
      <c r="A74" s="36"/>
      <c r="C74" s="28"/>
      <c r="D74" s="28"/>
      <c r="E74" s="28" t="str">
        <f>ResultadosObtidos!B71</f>
        <v/>
      </c>
      <c r="F74" s="28" t="str">
        <f>IFERROR(IF(DesvioPercentual!C71&lt;&gt;"",SUBSTITUTE(TEXT(DesvioPercentual!C71,$F$2),".",","),""),"")</f>
        <v/>
      </c>
      <c r="G74" s="28" t="str">
        <f>IFERROR(IF(DesvioPercentual!D71&lt;&gt;"",SUBSTITUTE(TEXT(DesvioPercentual!D71,$F$3),".",","),""),"")</f>
        <v/>
      </c>
      <c r="H74" s="28" t="str">
        <f>IFERROR(IF(DesvioPercentual!E71&lt;&gt;"",SUBSTITUTE(TEXT(DesvioPercentual!E71,$F$3),".",","),""),"")</f>
        <v/>
      </c>
      <c r="I74" s="28" t="str">
        <f>IFERROR(IF(DesvioPercentual!F71&lt;&gt;"",SUBSTITUTE(TEXT(DesvioPercentual!F71,$F$3),".",","),""),"")</f>
        <v/>
      </c>
      <c r="J74" s="28" t="str">
        <f>IFERROR(IF(DesvioPercentual!G71&lt;&gt;"",SUBSTITUTE(TEXT(DesvioPercentual!G71,$F$3),".",","),""),"")</f>
        <v/>
      </c>
      <c r="K74" s="28" t="str">
        <f>IFERROR(IF(DesvioPercentual!H71&lt;&gt;"",SUBSTITUTE(TEXT(DesvioPercentual!H71,$F$3),".",","),""),"")</f>
        <v/>
      </c>
      <c r="L74" s="28" t="str">
        <f>IFERROR(IF(DesvioPercentual!I71&lt;&gt;"",SUBSTITUTE(TEXT(DesvioPercentual!I71,$F$3),".",","),""),"")</f>
        <v/>
      </c>
      <c r="M74" s="28"/>
      <c r="N74" s="28" t="str">
        <f t="shared" si="3"/>
        <v> &amp; </v>
      </c>
      <c r="O74" s="28" t="str">
        <f>IF(G74="","",CONCATENATE(IF(ResultadosObtidos!D71=ResultadosObtidos!$C71,"\textbf{",""),G74," \% ",IF(ResultadosObtidos!D71=ResultadosObtidos!$C71,"} &amp; "," &amp; ")))</f>
        <v/>
      </c>
      <c r="P74" s="28" t="str">
        <f>IF(H74="","",CONCATENATE(IF(ResultadosObtidos!E71=ResultadosObtidos!$C71,"\textbf{",""),H74," \% ",IF(ResultadosObtidos!E71=ResultadosObtidos!$C71,"} &amp; "," &amp; ")))</f>
        <v/>
      </c>
      <c r="Q74" s="28" t="str">
        <f>IF(I74="","",CONCATENATE(IF(ResultadosObtidos!F71=ResultadosObtidos!$C71,"\textbf{",""),I74," \% ",IF(ResultadosObtidos!F71=ResultadosObtidos!$C71,"} &amp; "," &amp; ")))</f>
        <v/>
      </c>
      <c r="R74" s="28" t="str">
        <f>IF(J74="","",CONCATENATE(IF(ResultadosObtidos!G71=ResultadosObtidos!$C71,"\textbf{",""),J74," \% ",IF(ResultadosObtidos!G71=ResultadosObtidos!$C71,"} &amp; "," &amp; ")))</f>
        <v/>
      </c>
      <c r="S74" s="28" t="str">
        <f>IF(K74="","",CONCATENATE(IF(ResultadosObtidos!H71=ResultadosObtidos!$C71,"\textbf{",""),K74," \% ",IF(ResultadosObtidos!H71=ResultadosObtidos!$C71,"} &amp; "," &amp; ")))</f>
        <v/>
      </c>
      <c r="T74" s="28" t="str">
        <f>IF(L74="","",CONCATENATE(IF(ResultadosObtidos!I71=ResultadosObtidos!$C71,"\textbf{",""),L74," \% ",IF(ResultadosObtidos!I71=ResultadosObtidos!$C71,"} \\ "," \\ ")))</f>
        <v/>
      </c>
      <c r="U74" s="28"/>
      <c r="V74" s="28"/>
      <c r="W74" s="28"/>
      <c r="X74" s="28"/>
      <c r="Y74" s="28"/>
      <c r="Z74" s="28"/>
    </row>
    <row r="75" ht="15.75" customHeight="1">
      <c r="A75" s="36"/>
      <c r="C75" s="28"/>
      <c r="D75" s="28"/>
      <c r="E75" s="28" t="str">
        <f>ResultadosObtidos!B72</f>
        <v/>
      </c>
      <c r="F75" s="28" t="str">
        <f>IFERROR(IF(DesvioPercentual!C72&lt;&gt;"",SUBSTITUTE(TEXT(DesvioPercentual!C72,$F$2),".",","),""),"")</f>
        <v/>
      </c>
      <c r="G75" s="28" t="str">
        <f>IFERROR(IF(DesvioPercentual!D72&lt;&gt;"",SUBSTITUTE(TEXT(DesvioPercentual!D72,$F$3),".",","),""),"")</f>
        <v/>
      </c>
      <c r="H75" s="28" t="str">
        <f>IFERROR(IF(DesvioPercentual!E72&lt;&gt;"",SUBSTITUTE(TEXT(DesvioPercentual!E72,$F$3),".",","),""),"")</f>
        <v/>
      </c>
      <c r="I75" s="28" t="str">
        <f>IFERROR(IF(DesvioPercentual!F72&lt;&gt;"",SUBSTITUTE(TEXT(DesvioPercentual!F72,$F$3),".",","),""),"")</f>
        <v/>
      </c>
      <c r="J75" s="28" t="str">
        <f>IFERROR(IF(DesvioPercentual!G72&lt;&gt;"",SUBSTITUTE(TEXT(DesvioPercentual!G72,$F$3),".",","),""),"")</f>
        <v/>
      </c>
      <c r="K75" s="28" t="str">
        <f>IFERROR(IF(DesvioPercentual!H72&lt;&gt;"",SUBSTITUTE(TEXT(DesvioPercentual!H72,$F$3),".",","),""),"")</f>
        <v/>
      </c>
      <c r="L75" s="28" t="str">
        <f>IFERROR(IF(DesvioPercentual!I72&lt;&gt;"",SUBSTITUTE(TEXT(DesvioPercentual!I72,$F$3),".",","),""),"")</f>
        <v/>
      </c>
      <c r="M75" s="28"/>
      <c r="N75" s="28" t="str">
        <f t="shared" si="3"/>
        <v> &amp; </v>
      </c>
      <c r="O75" s="28" t="str">
        <f>IF(G75="","",CONCATENATE(IF(ResultadosObtidos!D72=ResultadosObtidos!$C72,"\textbf{",""),G75," \% ",IF(ResultadosObtidos!D72=ResultadosObtidos!$C72,"} &amp; "," &amp; ")))</f>
        <v/>
      </c>
      <c r="P75" s="28" t="str">
        <f>IF(H75="","",CONCATENATE(IF(ResultadosObtidos!E72=ResultadosObtidos!$C72,"\textbf{",""),H75," \% ",IF(ResultadosObtidos!E72=ResultadosObtidos!$C72,"} &amp; "," &amp; ")))</f>
        <v/>
      </c>
      <c r="Q75" s="28" t="str">
        <f>IF(I75="","",CONCATENATE(IF(ResultadosObtidos!F72=ResultadosObtidos!$C72,"\textbf{",""),I75," \% ",IF(ResultadosObtidos!F72=ResultadosObtidos!$C72,"} &amp; "," &amp; ")))</f>
        <v/>
      </c>
      <c r="R75" s="28" t="str">
        <f>IF(J75="","",CONCATENATE(IF(ResultadosObtidos!G72=ResultadosObtidos!$C72,"\textbf{",""),J75," \% ",IF(ResultadosObtidos!G72=ResultadosObtidos!$C72,"} &amp; "," &amp; ")))</f>
        <v/>
      </c>
      <c r="S75" s="28" t="str">
        <f>IF(K75="","",CONCATENATE(IF(ResultadosObtidos!H72=ResultadosObtidos!$C72,"\textbf{",""),K75," \% ",IF(ResultadosObtidos!H72=ResultadosObtidos!$C72,"} &amp; "," &amp; ")))</f>
        <v/>
      </c>
      <c r="T75" s="28" t="str">
        <f>IF(L75="","",CONCATENATE(IF(ResultadosObtidos!I72=ResultadosObtidos!$C72,"\textbf{",""),L75," \% ",IF(ResultadosObtidos!I72=ResultadosObtidos!$C72,"} \\ "," \\ ")))</f>
        <v/>
      </c>
      <c r="U75" s="28"/>
      <c r="V75" s="28"/>
      <c r="W75" s="28"/>
      <c r="X75" s="28"/>
      <c r="Y75" s="28"/>
      <c r="Z75" s="28"/>
    </row>
    <row r="76" ht="15.75" customHeight="1">
      <c r="A76" s="36"/>
      <c r="C76" s="28"/>
      <c r="D76" s="28"/>
      <c r="E76" s="28" t="str">
        <f>ResultadosObtidos!B73</f>
        <v/>
      </c>
      <c r="F76" s="28" t="str">
        <f>IFERROR(IF(DesvioPercentual!C73&lt;&gt;"",SUBSTITUTE(TEXT(DesvioPercentual!C73,$F$2),".",","),""),"")</f>
        <v/>
      </c>
      <c r="G76" s="28" t="str">
        <f>IFERROR(IF(DesvioPercentual!D73&lt;&gt;"",SUBSTITUTE(TEXT(DesvioPercentual!D73,$F$3),".",","),""),"")</f>
        <v/>
      </c>
      <c r="H76" s="28" t="str">
        <f>IFERROR(IF(DesvioPercentual!E73&lt;&gt;"",SUBSTITUTE(TEXT(DesvioPercentual!E73,$F$3),".",","),""),"")</f>
        <v/>
      </c>
      <c r="I76" s="28" t="str">
        <f>IFERROR(IF(DesvioPercentual!F73&lt;&gt;"",SUBSTITUTE(TEXT(DesvioPercentual!F73,$F$3),".",","),""),"")</f>
        <v/>
      </c>
      <c r="J76" s="28" t="str">
        <f>IFERROR(IF(DesvioPercentual!G73&lt;&gt;"",SUBSTITUTE(TEXT(DesvioPercentual!G73,$F$3),".",","),""),"")</f>
        <v/>
      </c>
      <c r="K76" s="28" t="str">
        <f>IFERROR(IF(DesvioPercentual!H73&lt;&gt;"",SUBSTITUTE(TEXT(DesvioPercentual!H73,$F$3),".",","),""),"")</f>
        <v/>
      </c>
      <c r="L76" s="28" t="str">
        <f>IFERROR(IF(DesvioPercentual!I73&lt;&gt;"",SUBSTITUTE(TEXT(DesvioPercentual!I73,$F$3),".",","),""),"")</f>
        <v/>
      </c>
      <c r="M76" s="28"/>
      <c r="N76" s="28" t="str">
        <f t="shared" si="3"/>
        <v> &amp; </v>
      </c>
      <c r="O76" s="28" t="str">
        <f>IF(G76="","",CONCATENATE(IF(ResultadosObtidos!D73=ResultadosObtidos!$C73,"\textbf{",""),G76," \% ",IF(ResultadosObtidos!D73=ResultadosObtidos!$C73,"} &amp; "," &amp; ")))</f>
        <v/>
      </c>
      <c r="P76" s="28" t="str">
        <f>IF(H76="","",CONCATENATE(IF(ResultadosObtidos!E73=ResultadosObtidos!$C73,"\textbf{",""),H76," \% ",IF(ResultadosObtidos!E73=ResultadosObtidos!$C73,"} &amp; "," &amp; ")))</f>
        <v/>
      </c>
      <c r="Q76" s="28" t="str">
        <f>IF(I76="","",CONCATENATE(IF(ResultadosObtidos!F73=ResultadosObtidos!$C73,"\textbf{",""),I76," \% ",IF(ResultadosObtidos!F73=ResultadosObtidos!$C73,"} &amp; "," &amp; ")))</f>
        <v/>
      </c>
      <c r="R76" s="28" t="str">
        <f>IF(J76="","",CONCATENATE(IF(ResultadosObtidos!G73=ResultadosObtidos!$C73,"\textbf{",""),J76," \% ",IF(ResultadosObtidos!G73=ResultadosObtidos!$C73,"} &amp; "," &amp; ")))</f>
        <v/>
      </c>
      <c r="S76" s="28" t="str">
        <f>IF(K76="","",CONCATENATE(IF(ResultadosObtidos!H73=ResultadosObtidos!$C73,"\textbf{",""),K76," \% ",IF(ResultadosObtidos!H73=ResultadosObtidos!$C73,"} &amp; "," &amp; ")))</f>
        <v/>
      </c>
      <c r="T76" s="28" t="str">
        <f>IF(L76="","",CONCATENATE(IF(ResultadosObtidos!I73=ResultadosObtidos!$C73,"\textbf{",""),L76," \% ",IF(ResultadosObtidos!I73=ResultadosObtidos!$C73,"} \\ "," \\ ")))</f>
        <v/>
      </c>
      <c r="U76" s="28"/>
      <c r="V76" s="28"/>
      <c r="W76" s="28"/>
      <c r="X76" s="28"/>
      <c r="Y76" s="28"/>
      <c r="Z76" s="28"/>
    </row>
    <row r="77" ht="15.75" customHeight="1">
      <c r="A77" s="36"/>
      <c r="C77" s="28"/>
      <c r="D77" s="28"/>
      <c r="E77" s="28" t="str">
        <f>ResultadosObtidos!B74</f>
        <v/>
      </c>
      <c r="F77" s="28" t="str">
        <f>IFERROR(IF(DesvioPercentual!C74&lt;&gt;"",SUBSTITUTE(TEXT(DesvioPercentual!C74,$F$2),".",","),""),"")</f>
        <v/>
      </c>
      <c r="G77" s="28" t="str">
        <f>IFERROR(IF(DesvioPercentual!D74&lt;&gt;"",SUBSTITUTE(TEXT(DesvioPercentual!D74,$F$3),".",","),""),"")</f>
        <v/>
      </c>
      <c r="H77" s="28" t="str">
        <f>IFERROR(IF(DesvioPercentual!E74&lt;&gt;"",SUBSTITUTE(TEXT(DesvioPercentual!E74,$F$3),".",","),""),"")</f>
        <v/>
      </c>
      <c r="I77" s="28" t="str">
        <f>IFERROR(IF(DesvioPercentual!F74&lt;&gt;"",SUBSTITUTE(TEXT(DesvioPercentual!F74,$F$3),".",","),""),"")</f>
        <v/>
      </c>
      <c r="J77" s="28" t="str">
        <f>IFERROR(IF(DesvioPercentual!G74&lt;&gt;"",SUBSTITUTE(TEXT(DesvioPercentual!G74,$F$3),".",","),""),"")</f>
        <v/>
      </c>
      <c r="K77" s="28" t="str">
        <f>IFERROR(IF(DesvioPercentual!H74&lt;&gt;"",SUBSTITUTE(TEXT(DesvioPercentual!H74,$F$3),".",","),""),"")</f>
        <v/>
      </c>
      <c r="L77" s="28" t="str">
        <f>IFERROR(IF(DesvioPercentual!I74&lt;&gt;"",SUBSTITUTE(TEXT(DesvioPercentual!I74,$F$3),".",","),""),"")</f>
        <v/>
      </c>
      <c r="M77" s="28"/>
      <c r="N77" s="28" t="str">
        <f t="shared" si="3"/>
        <v> &amp; </v>
      </c>
      <c r="O77" s="28" t="str">
        <f>IF(G77="","",CONCATENATE(IF(ResultadosObtidos!D74=ResultadosObtidos!$C74,"\textbf{",""),G77," \% ",IF(ResultadosObtidos!D74=ResultadosObtidos!$C74,"} &amp; "," &amp; ")))</f>
        <v/>
      </c>
      <c r="P77" s="28" t="str">
        <f>IF(H77="","",CONCATENATE(IF(ResultadosObtidos!E74=ResultadosObtidos!$C74,"\textbf{",""),H77," \% ",IF(ResultadosObtidos!E74=ResultadosObtidos!$C74,"} &amp; "," &amp; ")))</f>
        <v/>
      </c>
      <c r="Q77" s="28" t="str">
        <f>IF(I77="","",CONCATENATE(IF(ResultadosObtidos!F74=ResultadosObtidos!$C74,"\textbf{",""),I77," \% ",IF(ResultadosObtidos!F74=ResultadosObtidos!$C74,"} &amp; "," &amp; ")))</f>
        <v/>
      </c>
      <c r="R77" s="28" t="str">
        <f>IF(J77="","",CONCATENATE(IF(ResultadosObtidos!G74=ResultadosObtidos!$C74,"\textbf{",""),J77," \% ",IF(ResultadosObtidos!G74=ResultadosObtidos!$C74,"} &amp; "," &amp; ")))</f>
        <v/>
      </c>
      <c r="S77" s="28" t="str">
        <f>IF(K77="","",CONCATENATE(IF(ResultadosObtidos!H74=ResultadosObtidos!$C74,"\textbf{",""),K77," \% ",IF(ResultadosObtidos!H74=ResultadosObtidos!$C74,"} &amp; "," &amp; ")))</f>
        <v/>
      </c>
      <c r="T77" s="28" t="str">
        <f>IF(L77="","",CONCATENATE(IF(ResultadosObtidos!I74=ResultadosObtidos!$C74,"\textbf{",""),L77," \% ",IF(ResultadosObtidos!I74=ResultadosObtidos!$C74,"} \\ "," \\ ")))</f>
        <v/>
      </c>
      <c r="U77" s="28"/>
      <c r="V77" s="28"/>
      <c r="W77" s="28"/>
      <c r="X77" s="28"/>
      <c r="Y77" s="28"/>
      <c r="Z77" s="28"/>
    </row>
    <row r="78" ht="15.75" customHeight="1">
      <c r="A78" s="36"/>
      <c r="C78" s="28"/>
      <c r="D78" s="28"/>
      <c r="E78" s="28" t="str">
        <f>ResultadosObtidos!B75</f>
        <v/>
      </c>
      <c r="F78" s="28" t="str">
        <f>IFERROR(IF(DesvioPercentual!C75&lt;&gt;"",SUBSTITUTE(TEXT(DesvioPercentual!C75,$F$2),".",","),""),"")</f>
        <v/>
      </c>
      <c r="G78" s="28" t="str">
        <f>IFERROR(IF(DesvioPercentual!D75&lt;&gt;"",SUBSTITUTE(TEXT(DesvioPercentual!D75,$F$3),".",","),""),"")</f>
        <v/>
      </c>
      <c r="H78" s="28" t="str">
        <f>IFERROR(IF(DesvioPercentual!E75&lt;&gt;"",SUBSTITUTE(TEXT(DesvioPercentual!E75,$F$3),".",","),""),"")</f>
        <v/>
      </c>
      <c r="I78" s="28" t="str">
        <f>IFERROR(IF(DesvioPercentual!F75&lt;&gt;"",SUBSTITUTE(TEXT(DesvioPercentual!F75,$F$3),".",","),""),"")</f>
        <v/>
      </c>
      <c r="J78" s="28" t="str">
        <f>IFERROR(IF(DesvioPercentual!G75&lt;&gt;"",SUBSTITUTE(TEXT(DesvioPercentual!G75,$F$3),".",","),""),"")</f>
        <v/>
      </c>
      <c r="K78" s="28" t="str">
        <f>IFERROR(IF(DesvioPercentual!H75&lt;&gt;"",SUBSTITUTE(TEXT(DesvioPercentual!H75,$F$3),".",","),""),"")</f>
        <v/>
      </c>
      <c r="L78" s="28" t="str">
        <f>IFERROR(IF(DesvioPercentual!I75&lt;&gt;"",SUBSTITUTE(TEXT(DesvioPercentual!I75,$F$3),".",","),""),"")</f>
        <v/>
      </c>
      <c r="M78" s="28"/>
      <c r="N78" s="28" t="str">
        <f t="shared" si="3"/>
        <v> &amp; </v>
      </c>
      <c r="O78" s="28" t="str">
        <f>IF(G78="","",CONCATENATE(IF(ResultadosObtidos!D75=ResultadosObtidos!$C75,"\textbf{",""),G78," \% ",IF(ResultadosObtidos!D75=ResultadosObtidos!$C75,"} &amp; "," &amp; ")))</f>
        <v/>
      </c>
      <c r="P78" s="28" t="str">
        <f>IF(H78="","",CONCATENATE(IF(ResultadosObtidos!E75=ResultadosObtidos!$C75,"\textbf{",""),H78," \% ",IF(ResultadosObtidos!E75=ResultadosObtidos!$C75,"} &amp; "," &amp; ")))</f>
        <v/>
      </c>
      <c r="Q78" s="28" t="str">
        <f>IF(I78="","",CONCATENATE(IF(ResultadosObtidos!F75=ResultadosObtidos!$C75,"\textbf{",""),I78," \% ",IF(ResultadosObtidos!F75=ResultadosObtidos!$C75,"} &amp; "," &amp; ")))</f>
        <v/>
      </c>
      <c r="R78" s="28" t="str">
        <f>IF(J78="","",CONCATENATE(IF(ResultadosObtidos!G75=ResultadosObtidos!$C75,"\textbf{",""),J78," \% ",IF(ResultadosObtidos!G75=ResultadosObtidos!$C75,"} &amp; "," &amp; ")))</f>
        <v/>
      </c>
      <c r="S78" s="28" t="str">
        <f>IF(K78="","",CONCATENATE(IF(ResultadosObtidos!H75=ResultadosObtidos!$C75,"\textbf{",""),K78," \% ",IF(ResultadosObtidos!H75=ResultadosObtidos!$C75,"} &amp; "," &amp; ")))</f>
        <v/>
      </c>
      <c r="T78" s="28" t="str">
        <f>IF(L78="","",CONCATENATE(IF(ResultadosObtidos!I75=ResultadosObtidos!$C75,"\textbf{",""),L78," \% ",IF(ResultadosObtidos!I75=ResultadosObtidos!$C75,"} \\ "," \\ ")))</f>
        <v/>
      </c>
      <c r="U78" s="28"/>
      <c r="V78" s="28"/>
      <c r="W78" s="28"/>
      <c r="X78" s="28"/>
      <c r="Y78" s="28"/>
      <c r="Z78" s="28"/>
    </row>
    <row r="79" ht="15.75" customHeight="1">
      <c r="A79" s="36"/>
      <c r="C79" s="28"/>
      <c r="D79" s="28"/>
      <c r="E79" s="28" t="str">
        <f>ResultadosObtidos!B76</f>
        <v/>
      </c>
      <c r="F79" s="28" t="str">
        <f>IFERROR(IF(DesvioPercentual!C76&lt;&gt;"",SUBSTITUTE(TEXT(DesvioPercentual!C76,$F$2),".",","),""),"")</f>
        <v/>
      </c>
      <c r="G79" s="28" t="str">
        <f>IFERROR(IF(DesvioPercentual!D76&lt;&gt;"",SUBSTITUTE(TEXT(DesvioPercentual!D76,$F$3),".",","),""),"")</f>
        <v/>
      </c>
      <c r="H79" s="28" t="str">
        <f>IFERROR(IF(DesvioPercentual!E76&lt;&gt;"",SUBSTITUTE(TEXT(DesvioPercentual!E76,$F$3),".",","),""),"")</f>
        <v/>
      </c>
      <c r="I79" s="28" t="str">
        <f>IFERROR(IF(DesvioPercentual!F76&lt;&gt;"",SUBSTITUTE(TEXT(DesvioPercentual!F76,$F$3),".",","),""),"")</f>
        <v/>
      </c>
      <c r="J79" s="28" t="str">
        <f>IFERROR(IF(DesvioPercentual!G76&lt;&gt;"",SUBSTITUTE(TEXT(DesvioPercentual!G76,$F$3),".",","),""),"")</f>
        <v/>
      </c>
      <c r="K79" s="28" t="str">
        <f>IFERROR(IF(DesvioPercentual!H76&lt;&gt;"",SUBSTITUTE(TEXT(DesvioPercentual!H76,$F$3),".",","),""),"")</f>
        <v/>
      </c>
      <c r="L79" s="28" t="str">
        <f>IFERROR(IF(DesvioPercentual!I76&lt;&gt;"",SUBSTITUTE(TEXT(DesvioPercentual!I76,$F$3),".",","),""),"")</f>
        <v/>
      </c>
      <c r="M79" s="28"/>
      <c r="N79" s="28" t="str">
        <f t="shared" si="3"/>
        <v> &amp; </v>
      </c>
      <c r="O79" s="28" t="str">
        <f>IF(G79="","",CONCATENATE(IF(ResultadosObtidos!D76=ResultadosObtidos!$C76,"\textbf{",""),G79," \% ",IF(ResultadosObtidos!D76=ResultadosObtidos!$C76,"} &amp; "," &amp; ")))</f>
        <v/>
      </c>
      <c r="P79" s="28" t="str">
        <f>IF(H79="","",CONCATENATE(IF(ResultadosObtidos!E76=ResultadosObtidos!$C76,"\textbf{",""),H79," \% ",IF(ResultadosObtidos!E76=ResultadosObtidos!$C76,"} &amp; "," &amp; ")))</f>
        <v/>
      </c>
      <c r="Q79" s="28" t="str">
        <f>IF(I79="","",CONCATENATE(IF(ResultadosObtidos!F76=ResultadosObtidos!$C76,"\textbf{",""),I79," \% ",IF(ResultadosObtidos!F76=ResultadosObtidos!$C76,"} &amp; "," &amp; ")))</f>
        <v/>
      </c>
      <c r="R79" s="28" t="str">
        <f>IF(J79="","",CONCATENATE(IF(ResultadosObtidos!G76=ResultadosObtidos!$C76,"\textbf{",""),J79," \% ",IF(ResultadosObtidos!G76=ResultadosObtidos!$C76,"} &amp; "," &amp; ")))</f>
        <v/>
      </c>
      <c r="S79" s="28" t="str">
        <f>IF(K79="","",CONCATENATE(IF(ResultadosObtidos!H76=ResultadosObtidos!$C76,"\textbf{",""),K79," \% ",IF(ResultadosObtidos!H76=ResultadosObtidos!$C76,"} &amp; "," &amp; ")))</f>
        <v/>
      </c>
      <c r="T79" s="28" t="str">
        <f>IF(L79="","",CONCATENATE(IF(ResultadosObtidos!I76=ResultadosObtidos!$C76,"\textbf{",""),L79," \% ",IF(ResultadosObtidos!I76=ResultadosObtidos!$C76,"} \\ "," \\ ")))</f>
        <v/>
      </c>
      <c r="U79" s="28"/>
      <c r="V79" s="28"/>
      <c r="W79" s="28"/>
      <c r="X79" s="28"/>
      <c r="Y79" s="28"/>
      <c r="Z79" s="28"/>
    </row>
    <row r="80" ht="15.75" customHeight="1">
      <c r="A80" s="36"/>
      <c r="C80" s="28"/>
      <c r="D80" s="28"/>
      <c r="E80" s="28" t="str">
        <f>ResultadosObtidos!B77</f>
        <v/>
      </c>
      <c r="F80" s="28" t="str">
        <f>IFERROR(IF(DesvioPercentual!C77&lt;&gt;"",SUBSTITUTE(TEXT(DesvioPercentual!C77,$F$2),".",","),""),"")</f>
        <v/>
      </c>
      <c r="G80" s="28" t="str">
        <f>IFERROR(IF(DesvioPercentual!D77&lt;&gt;"",SUBSTITUTE(TEXT(DesvioPercentual!D77,$F$3),".",","),""),"")</f>
        <v/>
      </c>
      <c r="H80" s="28" t="str">
        <f>IFERROR(IF(DesvioPercentual!E77&lt;&gt;"",SUBSTITUTE(TEXT(DesvioPercentual!E77,$F$3),".",","),""),"")</f>
        <v/>
      </c>
      <c r="I80" s="28" t="str">
        <f>IFERROR(IF(DesvioPercentual!F77&lt;&gt;"",SUBSTITUTE(TEXT(DesvioPercentual!F77,$F$3),".",","),""),"")</f>
        <v/>
      </c>
      <c r="J80" s="28" t="str">
        <f>IFERROR(IF(DesvioPercentual!G77&lt;&gt;"",SUBSTITUTE(TEXT(DesvioPercentual!G77,$F$3),".",","),""),"")</f>
        <v/>
      </c>
      <c r="K80" s="28" t="str">
        <f>IFERROR(IF(DesvioPercentual!H77&lt;&gt;"",SUBSTITUTE(TEXT(DesvioPercentual!H77,$F$3),".",","),""),"")</f>
        <v/>
      </c>
      <c r="L80" s="28" t="str">
        <f>IFERROR(IF(DesvioPercentual!I77&lt;&gt;"",SUBSTITUTE(TEXT(DesvioPercentual!I77,$F$3),".",","),""),"")</f>
        <v/>
      </c>
      <c r="M80" s="28"/>
      <c r="N80" s="28" t="str">
        <f t="shared" si="3"/>
        <v> &amp; </v>
      </c>
      <c r="O80" s="28" t="str">
        <f>IF(G80="","",CONCATENATE(IF(ResultadosObtidos!D77=ResultadosObtidos!$C77,"\textbf{",""),G80," \% ",IF(ResultadosObtidos!D77=ResultadosObtidos!$C77,"} &amp; "," &amp; ")))</f>
        <v/>
      </c>
      <c r="P80" s="28" t="str">
        <f>IF(H80="","",CONCATENATE(IF(ResultadosObtidos!E77=ResultadosObtidos!$C77,"\textbf{",""),H80," \% ",IF(ResultadosObtidos!E77=ResultadosObtidos!$C77,"} &amp; "," &amp; ")))</f>
        <v/>
      </c>
      <c r="Q80" s="28" t="str">
        <f>IF(I80="","",CONCATENATE(IF(ResultadosObtidos!F77=ResultadosObtidos!$C77,"\textbf{",""),I80," \% ",IF(ResultadosObtidos!F77=ResultadosObtidos!$C77,"} &amp; "," &amp; ")))</f>
        <v/>
      </c>
      <c r="R80" s="28" t="str">
        <f>IF(J80="","",CONCATENATE(IF(ResultadosObtidos!G77=ResultadosObtidos!$C77,"\textbf{",""),J80," \% ",IF(ResultadosObtidos!G77=ResultadosObtidos!$C77,"} &amp; "," &amp; ")))</f>
        <v/>
      </c>
      <c r="S80" s="28" t="str">
        <f>IF(K80="","",CONCATENATE(IF(ResultadosObtidos!H77=ResultadosObtidos!$C77,"\textbf{",""),K80," \% ",IF(ResultadosObtidos!H77=ResultadosObtidos!$C77,"} &amp; "," &amp; ")))</f>
        <v/>
      </c>
      <c r="T80" s="28" t="str">
        <f>IF(L80="","",CONCATENATE(IF(ResultadosObtidos!I77=ResultadosObtidos!$C77,"\textbf{",""),L80," \% ",IF(ResultadosObtidos!I77=ResultadosObtidos!$C77,"} \\ "," \\ ")))</f>
        <v/>
      </c>
      <c r="U80" s="28"/>
      <c r="V80" s="28"/>
      <c r="W80" s="28"/>
      <c r="X80" s="28"/>
      <c r="Y80" s="28"/>
      <c r="Z80" s="28"/>
    </row>
    <row r="81" ht="15.75" customHeight="1">
      <c r="A81" s="36"/>
      <c r="C81" s="28"/>
      <c r="D81" s="28"/>
      <c r="E81" s="28" t="str">
        <f>ResultadosObtidos!B78</f>
        <v/>
      </c>
      <c r="F81" s="28" t="str">
        <f>IFERROR(IF(DesvioPercentual!C78&lt;&gt;"",SUBSTITUTE(TEXT(DesvioPercentual!C78,$F$2),".",","),""),"")</f>
        <v/>
      </c>
      <c r="G81" s="28" t="str">
        <f>IFERROR(IF(DesvioPercentual!D78&lt;&gt;"",SUBSTITUTE(TEXT(DesvioPercentual!D78,$F$3),".",","),""),"")</f>
        <v/>
      </c>
      <c r="H81" s="28" t="str">
        <f>IFERROR(IF(DesvioPercentual!E78&lt;&gt;"",SUBSTITUTE(TEXT(DesvioPercentual!E78,$F$3),".",","),""),"")</f>
        <v/>
      </c>
      <c r="I81" s="28" t="str">
        <f>IFERROR(IF(DesvioPercentual!F78&lt;&gt;"",SUBSTITUTE(TEXT(DesvioPercentual!F78,$F$3),".",","),""),"")</f>
        <v/>
      </c>
      <c r="J81" s="28" t="str">
        <f>IFERROR(IF(DesvioPercentual!G78&lt;&gt;"",SUBSTITUTE(TEXT(DesvioPercentual!G78,$F$3),".",","),""),"")</f>
        <v/>
      </c>
      <c r="K81" s="28" t="str">
        <f>IFERROR(IF(DesvioPercentual!H78&lt;&gt;"",SUBSTITUTE(TEXT(DesvioPercentual!H78,$F$3),".",","),""),"")</f>
        <v/>
      </c>
      <c r="L81" s="28" t="str">
        <f>IFERROR(IF(DesvioPercentual!I78&lt;&gt;"",SUBSTITUTE(TEXT(DesvioPercentual!I78,$F$3),".",","),""),"")</f>
        <v/>
      </c>
      <c r="M81" s="28"/>
      <c r="N81" s="28" t="str">
        <f t="shared" si="3"/>
        <v> &amp; </v>
      </c>
      <c r="O81" s="28" t="str">
        <f>IF(G81="","",CONCATENATE(IF(ResultadosObtidos!D78=ResultadosObtidos!$C78,"\textbf{",""),G81," \% ",IF(ResultadosObtidos!D78=ResultadosObtidos!$C78,"} &amp; "," &amp; ")))</f>
        <v/>
      </c>
      <c r="P81" s="28" t="str">
        <f>IF(H81="","",CONCATENATE(IF(ResultadosObtidos!E78=ResultadosObtidos!$C78,"\textbf{",""),H81," \% ",IF(ResultadosObtidos!E78=ResultadosObtidos!$C78,"} &amp; "," &amp; ")))</f>
        <v/>
      </c>
      <c r="Q81" s="28" t="str">
        <f>IF(I81="","",CONCATENATE(IF(ResultadosObtidos!F78=ResultadosObtidos!$C78,"\textbf{",""),I81," \% ",IF(ResultadosObtidos!F78=ResultadosObtidos!$C78,"} &amp; "," &amp; ")))</f>
        <v/>
      </c>
      <c r="R81" s="28" t="str">
        <f>IF(J81="","",CONCATENATE(IF(ResultadosObtidos!G78=ResultadosObtidos!$C78,"\textbf{",""),J81," \% ",IF(ResultadosObtidos!G78=ResultadosObtidos!$C78,"} &amp; "," &amp; ")))</f>
        <v/>
      </c>
      <c r="S81" s="28" t="str">
        <f>IF(K81="","",CONCATENATE(IF(ResultadosObtidos!H78=ResultadosObtidos!$C78,"\textbf{",""),K81," \% ",IF(ResultadosObtidos!H78=ResultadosObtidos!$C78,"} &amp; "," &amp; ")))</f>
        <v/>
      </c>
      <c r="T81" s="28" t="str">
        <f>IF(L81="","",CONCATENATE(IF(ResultadosObtidos!I78=ResultadosObtidos!$C78,"\textbf{",""),L81," \% ",IF(ResultadosObtidos!I78=ResultadosObtidos!$C78,"} \\ "," \\ ")))</f>
        <v/>
      </c>
      <c r="U81" s="28"/>
      <c r="V81" s="28"/>
      <c r="W81" s="28"/>
      <c r="X81" s="28"/>
      <c r="Y81" s="28"/>
      <c r="Z81" s="28"/>
    </row>
    <row r="82" ht="15.75" customHeight="1">
      <c r="A82" s="36"/>
      <c r="C82" s="28"/>
      <c r="D82" s="28"/>
      <c r="E82" s="28" t="str">
        <f>ResultadosObtidos!B79</f>
        <v/>
      </c>
      <c r="F82" s="28" t="str">
        <f>IFERROR(IF(DesvioPercentual!C79&lt;&gt;"",SUBSTITUTE(TEXT(DesvioPercentual!C79,$F$2),".",","),""),"")</f>
        <v/>
      </c>
      <c r="G82" s="28" t="str">
        <f>IFERROR(IF(DesvioPercentual!D79&lt;&gt;"",SUBSTITUTE(TEXT(DesvioPercentual!D79,$F$3),".",","),""),"")</f>
        <v/>
      </c>
      <c r="H82" s="28" t="str">
        <f>IFERROR(IF(DesvioPercentual!E79&lt;&gt;"",SUBSTITUTE(TEXT(DesvioPercentual!E79,$F$3),".",","),""),"")</f>
        <v/>
      </c>
      <c r="I82" s="28" t="str">
        <f>IFERROR(IF(DesvioPercentual!F79&lt;&gt;"",SUBSTITUTE(TEXT(DesvioPercentual!F79,$F$3),".",","),""),"")</f>
        <v/>
      </c>
      <c r="J82" s="28" t="str">
        <f>IFERROR(IF(DesvioPercentual!G79&lt;&gt;"",SUBSTITUTE(TEXT(DesvioPercentual!G79,$F$3),".",","),""),"")</f>
        <v/>
      </c>
      <c r="K82" s="28" t="str">
        <f>IFERROR(IF(DesvioPercentual!H79&lt;&gt;"",SUBSTITUTE(TEXT(DesvioPercentual!H79,$F$3),".",","),""),"")</f>
        <v/>
      </c>
      <c r="L82" s="28" t="str">
        <f>IFERROR(IF(DesvioPercentual!I79&lt;&gt;"",SUBSTITUTE(TEXT(DesvioPercentual!I79,$F$3),".",","),""),"")</f>
        <v/>
      </c>
      <c r="M82" s="28"/>
      <c r="N82" s="28" t="str">
        <f t="shared" si="3"/>
        <v> &amp; </v>
      </c>
      <c r="O82" s="28" t="str">
        <f>IF(G82="","",CONCATENATE(IF(ResultadosObtidos!D79=ResultadosObtidos!$C79,"\textbf{",""),G82," \% ",IF(ResultadosObtidos!D79=ResultadosObtidos!$C79,"} &amp; "," &amp; ")))</f>
        <v/>
      </c>
      <c r="P82" s="28" t="str">
        <f>IF(H82="","",CONCATENATE(IF(ResultadosObtidos!E79=ResultadosObtidos!$C79,"\textbf{",""),H82," \% ",IF(ResultadosObtidos!E79=ResultadosObtidos!$C79,"} &amp; "," &amp; ")))</f>
        <v/>
      </c>
      <c r="Q82" s="28" t="str">
        <f>IF(I82="","",CONCATENATE(IF(ResultadosObtidos!F79=ResultadosObtidos!$C79,"\textbf{",""),I82," \% ",IF(ResultadosObtidos!F79=ResultadosObtidos!$C79,"} &amp; "," &amp; ")))</f>
        <v/>
      </c>
      <c r="R82" s="28" t="str">
        <f>IF(J82="","",CONCATENATE(IF(ResultadosObtidos!G79=ResultadosObtidos!$C79,"\textbf{",""),J82," \% ",IF(ResultadosObtidos!G79=ResultadosObtidos!$C79,"} &amp; "," &amp; ")))</f>
        <v/>
      </c>
      <c r="S82" s="28" t="str">
        <f>IF(K82="","",CONCATENATE(IF(ResultadosObtidos!H79=ResultadosObtidos!$C79,"\textbf{",""),K82," \% ",IF(ResultadosObtidos!H79=ResultadosObtidos!$C79,"} &amp; "," &amp; ")))</f>
        <v/>
      </c>
      <c r="T82" s="28" t="str">
        <f>IF(L82="","",CONCATENATE(IF(ResultadosObtidos!I79=ResultadosObtidos!$C79,"\textbf{",""),L82," \% ",IF(ResultadosObtidos!I79=ResultadosObtidos!$C79,"} \\ "," \\ ")))</f>
        <v/>
      </c>
      <c r="U82" s="28"/>
      <c r="V82" s="28"/>
      <c r="W82" s="28"/>
      <c r="X82" s="28"/>
      <c r="Y82" s="28"/>
      <c r="Z82" s="28"/>
    </row>
    <row r="83" ht="15.75" customHeight="1">
      <c r="A83" s="36"/>
      <c r="C83" s="28"/>
      <c r="D83" s="28"/>
      <c r="E83" s="28" t="str">
        <f>ResultadosObtidos!B80</f>
        <v/>
      </c>
      <c r="F83" s="28" t="str">
        <f>IFERROR(IF(DesvioPercentual!C80&lt;&gt;"",SUBSTITUTE(TEXT(DesvioPercentual!C80,$F$2),".",","),""),"")</f>
        <v/>
      </c>
      <c r="G83" s="28" t="str">
        <f>IFERROR(IF(DesvioPercentual!D80&lt;&gt;"",SUBSTITUTE(TEXT(DesvioPercentual!D80,$F$3),".",","),""),"")</f>
        <v/>
      </c>
      <c r="H83" s="28" t="str">
        <f>IFERROR(IF(DesvioPercentual!E80&lt;&gt;"",SUBSTITUTE(TEXT(DesvioPercentual!E80,$F$3),".",","),""),"")</f>
        <v/>
      </c>
      <c r="I83" s="28" t="str">
        <f>IFERROR(IF(DesvioPercentual!F80&lt;&gt;"",SUBSTITUTE(TEXT(DesvioPercentual!F80,$F$3),".",","),""),"")</f>
        <v/>
      </c>
      <c r="J83" s="28" t="str">
        <f>IFERROR(IF(DesvioPercentual!G80&lt;&gt;"",SUBSTITUTE(TEXT(DesvioPercentual!G80,$F$3),".",","),""),"")</f>
        <v/>
      </c>
      <c r="K83" s="28" t="str">
        <f>IFERROR(IF(DesvioPercentual!H80&lt;&gt;"",SUBSTITUTE(TEXT(DesvioPercentual!H80,$F$3),".",","),""),"")</f>
        <v/>
      </c>
      <c r="L83" s="28" t="str">
        <f>IFERROR(IF(DesvioPercentual!I80&lt;&gt;"",SUBSTITUTE(TEXT(DesvioPercentual!I80,$F$3),".",","),""),"")</f>
        <v/>
      </c>
      <c r="M83" s="28"/>
      <c r="N83" s="28" t="str">
        <f t="shared" si="3"/>
        <v> &amp; </v>
      </c>
      <c r="O83" s="28" t="str">
        <f>IF(G83="","",CONCATENATE(IF(ResultadosObtidos!D80=ResultadosObtidos!$C80,"\textbf{",""),G83," \% ",IF(ResultadosObtidos!D80=ResultadosObtidos!$C80,"} &amp; "," &amp; ")))</f>
        <v/>
      </c>
      <c r="P83" s="28" t="str">
        <f>IF(H83="","",CONCATENATE(IF(ResultadosObtidos!E80=ResultadosObtidos!$C80,"\textbf{",""),H83," \% ",IF(ResultadosObtidos!E80=ResultadosObtidos!$C80,"} &amp; "," &amp; ")))</f>
        <v/>
      </c>
      <c r="Q83" s="28" t="str">
        <f>IF(I83="","",CONCATENATE(IF(ResultadosObtidos!F80=ResultadosObtidos!$C80,"\textbf{",""),I83," \% ",IF(ResultadosObtidos!F80=ResultadosObtidos!$C80,"} &amp; "," &amp; ")))</f>
        <v/>
      </c>
      <c r="R83" s="28" t="str">
        <f>IF(J83="","",CONCATENATE(IF(ResultadosObtidos!G80=ResultadosObtidos!$C80,"\textbf{",""),J83," \% ",IF(ResultadosObtidos!G80=ResultadosObtidos!$C80,"} &amp; "," &amp; ")))</f>
        <v/>
      </c>
      <c r="S83" s="28" t="str">
        <f>IF(K83="","",CONCATENATE(IF(ResultadosObtidos!H80=ResultadosObtidos!$C80,"\textbf{",""),K83," \% ",IF(ResultadosObtidos!H80=ResultadosObtidos!$C80,"} &amp; "," &amp; ")))</f>
        <v/>
      </c>
      <c r="T83" s="28" t="str">
        <f>IF(L83="","",CONCATENATE(IF(ResultadosObtidos!I80=ResultadosObtidos!$C80,"\textbf{",""),L83," \% ",IF(ResultadosObtidos!I80=ResultadosObtidos!$C80,"} \\ "," \\ ")))</f>
        <v/>
      </c>
      <c r="U83" s="28"/>
      <c r="V83" s="28"/>
      <c r="W83" s="28"/>
      <c r="X83" s="28"/>
      <c r="Y83" s="28"/>
      <c r="Z83" s="28"/>
    </row>
    <row r="84" ht="15.75" customHeight="1">
      <c r="A84" s="36"/>
      <c r="C84" s="28"/>
      <c r="D84" s="28"/>
      <c r="E84" s="28" t="str">
        <f>ResultadosObtidos!B81</f>
        <v/>
      </c>
      <c r="F84" s="28" t="str">
        <f>IFERROR(IF(DesvioPercentual!C81&lt;&gt;"",SUBSTITUTE(TEXT(DesvioPercentual!C81,$F$2),".",","),""),"")</f>
        <v/>
      </c>
      <c r="G84" s="28" t="str">
        <f>IFERROR(IF(DesvioPercentual!D81&lt;&gt;"",SUBSTITUTE(TEXT(DesvioPercentual!D81,$F$3),".",","),""),"")</f>
        <v/>
      </c>
      <c r="H84" s="28" t="str">
        <f>IFERROR(IF(DesvioPercentual!E81&lt;&gt;"",SUBSTITUTE(TEXT(DesvioPercentual!E81,$F$3),".",","),""),"")</f>
        <v/>
      </c>
      <c r="I84" s="28" t="str">
        <f>IFERROR(IF(DesvioPercentual!F81&lt;&gt;"",SUBSTITUTE(TEXT(DesvioPercentual!F81,$F$3),".",","),""),"")</f>
        <v/>
      </c>
      <c r="J84" s="28" t="str">
        <f>IFERROR(IF(DesvioPercentual!G81&lt;&gt;"",SUBSTITUTE(TEXT(DesvioPercentual!G81,$F$3),".",","),""),"")</f>
        <v/>
      </c>
      <c r="K84" s="28" t="str">
        <f>IFERROR(IF(DesvioPercentual!H81&lt;&gt;"",SUBSTITUTE(TEXT(DesvioPercentual!H81,$F$3),".",","),""),"")</f>
        <v/>
      </c>
      <c r="L84" s="28" t="str">
        <f>IFERROR(IF(DesvioPercentual!I81&lt;&gt;"",SUBSTITUTE(TEXT(DesvioPercentual!I81,$F$3),".",","),""),"")</f>
        <v/>
      </c>
      <c r="M84" s="28"/>
      <c r="N84" s="28" t="str">
        <f t="shared" si="3"/>
        <v> &amp; </v>
      </c>
      <c r="O84" s="28" t="str">
        <f>IF(G84="","",CONCATENATE(IF(ResultadosObtidos!D81=ResultadosObtidos!$C81,"\textbf{",""),G84," \% ",IF(ResultadosObtidos!D81=ResultadosObtidos!$C81,"} &amp; "," &amp; ")))</f>
        <v/>
      </c>
      <c r="P84" s="28" t="str">
        <f>IF(H84="","",CONCATENATE(IF(ResultadosObtidos!E81=ResultadosObtidos!$C81,"\textbf{",""),H84," \% ",IF(ResultadosObtidos!E81=ResultadosObtidos!$C81,"} &amp; "," &amp; ")))</f>
        <v/>
      </c>
      <c r="Q84" s="28" t="str">
        <f>IF(I84="","",CONCATENATE(IF(ResultadosObtidos!F81=ResultadosObtidos!$C81,"\textbf{",""),I84," \% ",IF(ResultadosObtidos!F81=ResultadosObtidos!$C81,"} &amp; "," &amp; ")))</f>
        <v/>
      </c>
      <c r="R84" s="28" t="str">
        <f>IF(J84="","",CONCATENATE(IF(ResultadosObtidos!G81=ResultadosObtidos!$C81,"\textbf{",""),J84," \% ",IF(ResultadosObtidos!G81=ResultadosObtidos!$C81,"} &amp; "," &amp; ")))</f>
        <v/>
      </c>
      <c r="S84" s="28" t="str">
        <f>IF(K84="","",CONCATENATE(IF(ResultadosObtidos!H81=ResultadosObtidos!$C81,"\textbf{",""),K84," \% ",IF(ResultadosObtidos!H81=ResultadosObtidos!$C81,"} &amp; "," &amp; ")))</f>
        <v/>
      </c>
      <c r="T84" s="28" t="str">
        <f>IF(L84="","",CONCATENATE(IF(ResultadosObtidos!I81=ResultadosObtidos!$C81,"\textbf{",""),L84," \% ",IF(ResultadosObtidos!I81=ResultadosObtidos!$C81,"} \\ "," \\ ")))</f>
        <v/>
      </c>
      <c r="U84" s="28"/>
      <c r="V84" s="28"/>
      <c r="W84" s="28"/>
      <c r="X84" s="28"/>
      <c r="Y84" s="28"/>
      <c r="Z84" s="28"/>
    </row>
    <row r="85" ht="15.75" customHeight="1">
      <c r="A85" s="36"/>
      <c r="C85" s="28"/>
      <c r="D85" s="28"/>
      <c r="E85" s="28" t="str">
        <f>ResultadosObtidos!B82</f>
        <v/>
      </c>
      <c r="F85" s="28" t="str">
        <f>IFERROR(IF(DesvioPercentual!C82&lt;&gt;"",SUBSTITUTE(TEXT(DesvioPercentual!C82,$F$2),".",","),""),"")</f>
        <v/>
      </c>
      <c r="G85" s="28" t="str">
        <f>IFERROR(IF(DesvioPercentual!D82&lt;&gt;"",SUBSTITUTE(TEXT(DesvioPercentual!D82,$F$3),".",","),""),"")</f>
        <v/>
      </c>
      <c r="H85" s="28" t="str">
        <f>IFERROR(IF(DesvioPercentual!E82&lt;&gt;"",SUBSTITUTE(TEXT(DesvioPercentual!E82,$F$3),".",","),""),"")</f>
        <v/>
      </c>
      <c r="I85" s="28" t="str">
        <f>IFERROR(IF(DesvioPercentual!F82&lt;&gt;"",SUBSTITUTE(TEXT(DesvioPercentual!F82,$F$3),".",","),""),"")</f>
        <v/>
      </c>
      <c r="J85" s="28" t="str">
        <f>IFERROR(IF(DesvioPercentual!G82&lt;&gt;"",SUBSTITUTE(TEXT(DesvioPercentual!G82,$F$3),".",","),""),"")</f>
        <v/>
      </c>
      <c r="K85" s="28" t="str">
        <f>IFERROR(IF(DesvioPercentual!H82&lt;&gt;"",SUBSTITUTE(TEXT(DesvioPercentual!H82,$F$3),".",","),""),"")</f>
        <v/>
      </c>
      <c r="L85" s="28" t="str">
        <f>IFERROR(IF(DesvioPercentual!I82&lt;&gt;"",SUBSTITUTE(TEXT(DesvioPercentual!I82,$F$3),".",","),""),"")</f>
        <v/>
      </c>
      <c r="M85" s="28"/>
      <c r="N85" s="28" t="str">
        <f t="shared" si="3"/>
        <v> &amp; </v>
      </c>
      <c r="O85" s="28" t="str">
        <f>IF(G85="","",CONCATENATE(IF(ResultadosObtidos!D82=ResultadosObtidos!$C82,"\textbf{",""),G85," \% ",IF(ResultadosObtidos!D82=ResultadosObtidos!$C82,"} &amp; "," &amp; ")))</f>
        <v/>
      </c>
      <c r="P85" s="28" t="str">
        <f>IF(H85="","",CONCATENATE(IF(ResultadosObtidos!E82=ResultadosObtidos!$C82,"\textbf{",""),H85," \% ",IF(ResultadosObtidos!E82=ResultadosObtidos!$C82,"} &amp; "," &amp; ")))</f>
        <v/>
      </c>
      <c r="Q85" s="28" t="str">
        <f>IF(I85="","",CONCATENATE(IF(ResultadosObtidos!F82=ResultadosObtidos!$C82,"\textbf{",""),I85," \% ",IF(ResultadosObtidos!F82=ResultadosObtidos!$C82,"} &amp; "," &amp; ")))</f>
        <v/>
      </c>
      <c r="R85" s="28" t="str">
        <f>IF(J85="","",CONCATENATE(IF(ResultadosObtidos!G82=ResultadosObtidos!$C82,"\textbf{",""),J85," \% ",IF(ResultadosObtidos!G82=ResultadosObtidos!$C82,"} &amp; "," &amp; ")))</f>
        <v/>
      </c>
      <c r="S85" s="28" t="str">
        <f>IF(K85="","",CONCATENATE(IF(ResultadosObtidos!H82=ResultadosObtidos!$C82,"\textbf{",""),K85," \% ",IF(ResultadosObtidos!H82=ResultadosObtidos!$C82,"} &amp; "," &amp; ")))</f>
        <v/>
      </c>
      <c r="T85" s="28" t="str">
        <f>IF(L85="","",CONCATENATE(IF(ResultadosObtidos!I82=ResultadosObtidos!$C82,"\textbf{",""),L85," \% ",IF(ResultadosObtidos!I82=ResultadosObtidos!$C82,"} \\ "," \\ ")))</f>
        <v/>
      </c>
      <c r="U85" s="28"/>
      <c r="V85" s="28"/>
      <c r="W85" s="28"/>
      <c r="X85" s="28"/>
      <c r="Y85" s="28"/>
      <c r="Z85" s="28"/>
    </row>
    <row r="86" ht="15.75" customHeight="1">
      <c r="A86" s="36"/>
      <c r="C86" s="28"/>
      <c r="D86" s="28"/>
      <c r="E86" s="28" t="str">
        <f>ResultadosObtidos!B83</f>
        <v/>
      </c>
      <c r="F86" s="28" t="str">
        <f>IFERROR(IF(DesvioPercentual!C83&lt;&gt;"",SUBSTITUTE(TEXT(DesvioPercentual!C83,$F$2),".",","),""),"")</f>
        <v/>
      </c>
      <c r="G86" s="28" t="str">
        <f>IFERROR(IF(DesvioPercentual!D83&lt;&gt;"",SUBSTITUTE(TEXT(DesvioPercentual!D83,$F$3),".",","),""),"")</f>
        <v/>
      </c>
      <c r="H86" s="28" t="str">
        <f>IFERROR(IF(DesvioPercentual!E83&lt;&gt;"",SUBSTITUTE(TEXT(DesvioPercentual!E83,$F$3),".",","),""),"")</f>
        <v/>
      </c>
      <c r="I86" s="28" t="str">
        <f>IFERROR(IF(DesvioPercentual!F83&lt;&gt;"",SUBSTITUTE(TEXT(DesvioPercentual!F83,$F$3),".",","),""),"")</f>
        <v/>
      </c>
      <c r="J86" s="28" t="str">
        <f>IFERROR(IF(DesvioPercentual!G83&lt;&gt;"",SUBSTITUTE(TEXT(DesvioPercentual!G83,$F$3),".",","),""),"")</f>
        <v/>
      </c>
      <c r="K86" s="28" t="str">
        <f>IFERROR(IF(DesvioPercentual!H83&lt;&gt;"",SUBSTITUTE(TEXT(DesvioPercentual!H83,$F$3),".",","),""),"")</f>
        <v/>
      </c>
      <c r="L86" s="28" t="str">
        <f>IFERROR(IF(DesvioPercentual!I83&lt;&gt;"",SUBSTITUTE(TEXT(DesvioPercentual!I83,$F$3),".",","),""),"")</f>
        <v/>
      </c>
      <c r="M86" s="28"/>
      <c r="N86" s="28" t="str">
        <f t="shared" si="3"/>
        <v> &amp; </v>
      </c>
      <c r="O86" s="28" t="str">
        <f>IF(G86="","",CONCATENATE(IF(ResultadosObtidos!D83=ResultadosObtidos!$C83,"\textbf{",""),G86," \% ",IF(ResultadosObtidos!D83=ResultadosObtidos!$C83,"} &amp; "," &amp; ")))</f>
        <v/>
      </c>
      <c r="P86" s="28" t="str">
        <f>IF(H86="","",CONCATENATE(IF(ResultadosObtidos!E83=ResultadosObtidos!$C83,"\textbf{",""),H86," \% ",IF(ResultadosObtidos!E83=ResultadosObtidos!$C83,"} &amp; "," &amp; ")))</f>
        <v/>
      </c>
      <c r="Q86" s="28" t="str">
        <f>IF(I86="","",CONCATENATE(IF(ResultadosObtidos!F83=ResultadosObtidos!$C83,"\textbf{",""),I86," \% ",IF(ResultadosObtidos!F83=ResultadosObtidos!$C83,"} &amp; "," &amp; ")))</f>
        <v/>
      </c>
      <c r="R86" s="28" t="str">
        <f>IF(J86="","",CONCATENATE(IF(ResultadosObtidos!G83=ResultadosObtidos!$C83,"\textbf{",""),J86," \% ",IF(ResultadosObtidos!G83=ResultadosObtidos!$C83,"} &amp; "," &amp; ")))</f>
        <v/>
      </c>
      <c r="S86" s="28" t="str">
        <f>IF(K86="","",CONCATENATE(IF(ResultadosObtidos!H83=ResultadosObtidos!$C83,"\textbf{",""),K86," \% ",IF(ResultadosObtidos!H83=ResultadosObtidos!$C83,"} &amp; "," &amp; ")))</f>
        <v/>
      </c>
      <c r="T86" s="28" t="str">
        <f>IF(L86="","",CONCATENATE(IF(ResultadosObtidos!I83=ResultadosObtidos!$C83,"\textbf{",""),L86," \% ",IF(ResultadosObtidos!I83=ResultadosObtidos!$C83,"} \\ "," \\ ")))</f>
        <v/>
      </c>
      <c r="U86" s="28"/>
      <c r="V86" s="28"/>
      <c r="W86" s="28"/>
      <c r="X86" s="28"/>
      <c r="Y86" s="28"/>
      <c r="Z86" s="28"/>
    </row>
    <row r="87" ht="15.75" customHeight="1">
      <c r="A87" s="36"/>
      <c r="C87" s="28"/>
      <c r="D87" s="28"/>
      <c r="E87" s="28" t="str">
        <f>ResultadosObtidos!B84</f>
        <v/>
      </c>
      <c r="F87" s="28" t="str">
        <f>IFERROR(IF(DesvioPercentual!C84&lt;&gt;"",SUBSTITUTE(TEXT(DesvioPercentual!C84,$F$2),".",","),""),"")</f>
        <v/>
      </c>
      <c r="G87" s="28" t="str">
        <f>IFERROR(IF(DesvioPercentual!D84&lt;&gt;"",SUBSTITUTE(TEXT(DesvioPercentual!D84,$F$3),".",","),""),"")</f>
        <v/>
      </c>
      <c r="H87" s="28" t="str">
        <f>IFERROR(IF(DesvioPercentual!E84&lt;&gt;"",SUBSTITUTE(TEXT(DesvioPercentual!E84,$F$3),".",","),""),"")</f>
        <v/>
      </c>
      <c r="I87" s="28" t="str">
        <f>IFERROR(IF(DesvioPercentual!F84&lt;&gt;"",SUBSTITUTE(TEXT(DesvioPercentual!F84,$F$3),".",","),""),"")</f>
        <v/>
      </c>
      <c r="J87" s="28" t="str">
        <f>IFERROR(IF(DesvioPercentual!G84&lt;&gt;"",SUBSTITUTE(TEXT(DesvioPercentual!G84,$F$3),".",","),""),"")</f>
        <v/>
      </c>
      <c r="K87" s="28" t="str">
        <f>IFERROR(IF(DesvioPercentual!H84&lt;&gt;"",SUBSTITUTE(TEXT(DesvioPercentual!H84,$F$3),".",","),""),"")</f>
        <v/>
      </c>
      <c r="L87" s="28" t="str">
        <f>IFERROR(IF(DesvioPercentual!I84&lt;&gt;"",SUBSTITUTE(TEXT(DesvioPercentual!I84,$F$3),".",","),""),"")</f>
        <v/>
      </c>
      <c r="M87" s="28"/>
      <c r="N87" s="28" t="str">
        <f t="shared" si="3"/>
        <v> &amp; </v>
      </c>
      <c r="O87" s="28" t="str">
        <f>IF(G87="","",CONCATENATE(IF(ResultadosObtidos!D84=ResultadosObtidos!$C84,"\textbf{",""),G87," \% ",IF(ResultadosObtidos!D84=ResultadosObtidos!$C84,"} &amp; "," &amp; ")))</f>
        <v/>
      </c>
      <c r="P87" s="28" t="str">
        <f>IF(H87="","",CONCATENATE(IF(ResultadosObtidos!E84=ResultadosObtidos!$C84,"\textbf{",""),H87," \% ",IF(ResultadosObtidos!E84=ResultadosObtidos!$C84,"} &amp; "," &amp; ")))</f>
        <v/>
      </c>
      <c r="Q87" s="28" t="str">
        <f>IF(I87="","",CONCATENATE(IF(ResultadosObtidos!F84=ResultadosObtidos!$C84,"\textbf{",""),I87," \% ",IF(ResultadosObtidos!F84=ResultadosObtidos!$C84,"} &amp; "," &amp; ")))</f>
        <v/>
      </c>
      <c r="R87" s="28" t="str">
        <f>IF(J87="","",CONCATENATE(IF(ResultadosObtidos!G84=ResultadosObtidos!$C84,"\textbf{",""),J87," \% ",IF(ResultadosObtidos!G84=ResultadosObtidos!$C84,"} &amp; "," &amp; ")))</f>
        <v/>
      </c>
      <c r="S87" s="28" t="str">
        <f>IF(K87="","",CONCATENATE(IF(ResultadosObtidos!H84=ResultadosObtidos!$C84,"\textbf{",""),K87," \% ",IF(ResultadosObtidos!H84=ResultadosObtidos!$C84,"} &amp; "," &amp; ")))</f>
        <v/>
      </c>
      <c r="T87" s="28" t="str">
        <f>IF(L87="","",CONCATENATE(IF(ResultadosObtidos!I84=ResultadosObtidos!$C84,"\textbf{",""),L87," \% ",IF(ResultadosObtidos!I84=ResultadosObtidos!$C84,"} \\ "," \\ ")))</f>
        <v/>
      </c>
      <c r="U87" s="28"/>
      <c r="V87" s="28"/>
      <c r="W87" s="28"/>
      <c r="X87" s="28"/>
      <c r="Y87" s="28"/>
      <c r="Z87" s="28"/>
    </row>
    <row r="88" ht="15.75" customHeight="1">
      <c r="A88" s="36"/>
      <c r="C88" s="28"/>
      <c r="D88" s="28"/>
      <c r="E88" s="28" t="str">
        <f>ResultadosObtidos!B85</f>
        <v/>
      </c>
      <c r="F88" s="28" t="str">
        <f>IFERROR(IF(DesvioPercentual!C85&lt;&gt;"",SUBSTITUTE(TEXT(DesvioPercentual!C85,$F$2),".",","),""),"")</f>
        <v/>
      </c>
      <c r="G88" s="28" t="str">
        <f>IFERROR(IF(DesvioPercentual!D85&lt;&gt;"",SUBSTITUTE(TEXT(DesvioPercentual!D85,$F$3),".",","),""),"")</f>
        <v/>
      </c>
      <c r="H88" s="28" t="str">
        <f>IFERROR(IF(DesvioPercentual!E85&lt;&gt;"",SUBSTITUTE(TEXT(DesvioPercentual!E85,$F$3),".",","),""),"")</f>
        <v/>
      </c>
      <c r="I88" s="28" t="str">
        <f>IFERROR(IF(DesvioPercentual!F85&lt;&gt;"",SUBSTITUTE(TEXT(DesvioPercentual!F85,$F$3),".",","),""),"")</f>
        <v/>
      </c>
      <c r="J88" s="28" t="str">
        <f>IFERROR(IF(DesvioPercentual!G85&lt;&gt;"",SUBSTITUTE(TEXT(DesvioPercentual!G85,$F$3),".",","),""),"")</f>
        <v/>
      </c>
      <c r="K88" s="28" t="str">
        <f>IFERROR(IF(DesvioPercentual!H85&lt;&gt;"",SUBSTITUTE(TEXT(DesvioPercentual!H85,$F$3),".",","),""),"")</f>
        <v/>
      </c>
      <c r="L88" s="28" t="str">
        <f>IFERROR(IF(DesvioPercentual!I85&lt;&gt;"",SUBSTITUTE(TEXT(DesvioPercentual!I85,$F$3),".",","),""),"")</f>
        <v/>
      </c>
      <c r="M88" s="28"/>
      <c r="N88" s="28" t="str">
        <f t="shared" si="3"/>
        <v> &amp; </v>
      </c>
      <c r="O88" s="28" t="str">
        <f>IF(G88="","",CONCATENATE(IF(ResultadosObtidos!D85=ResultadosObtidos!$C85,"\textbf{",""),G88," \% ",IF(ResultadosObtidos!D85=ResultadosObtidos!$C85,"} &amp; "," &amp; ")))</f>
        <v/>
      </c>
      <c r="P88" s="28" t="str">
        <f>IF(H88="","",CONCATENATE(IF(ResultadosObtidos!E85=ResultadosObtidos!$C85,"\textbf{",""),H88," \% ",IF(ResultadosObtidos!E85=ResultadosObtidos!$C85,"} &amp; "," &amp; ")))</f>
        <v/>
      </c>
      <c r="Q88" s="28" t="str">
        <f>IF(I88="","",CONCATENATE(IF(ResultadosObtidos!F85=ResultadosObtidos!$C85,"\textbf{",""),I88," \% ",IF(ResultadosObtidos!F85=ResultadosObtidos!$C85,"} &amp; "," &amp; ")))</f>
        <v/>
      </c>
      <c r="R88" s="28" t="str">
        <f>IF(J88="","",CONCATENATE(IF(ResultadosObtidos!G85=ResultadosObtidos!$C85,"\textbf{",""),J88," \% ",IF(ResultadosObtidos!G85=ResultadosObtidos!$C85,"} &amp; "," &amp; ")))</f>
        <v/>
      </c>
      <c r="S88" s="28" t="str">
        <f>IF(K88="","",CONCATENATE(IF(ResultadosObtidos!H85=ResultadosObtidos!$C85,"\textbf{",""),K88," \% ",IF(ResultadosObtidos!H85=ResultadosObtidos!$C85,"} &amp; "," &amp; ")))</f>
        <v/>
      </c>
      <c r="T88" s="28" t="str">
        <f>IF(L88="","",CONCATENATE(IF(ResultadosObtidos!I85=ResultadosObtidos!$C85,"\textbf{",""),L88," \% ",IF(ResultadosObtidos!I85=ResultadosObtidos!$C85,"} \\ "," \\ ")))</f>
        <v/>
      </c>
      <c r="U88" s="28"/>
      <c r="V88" s="28"/>
      <c r="W88" s="28"/>
      <c r="X88" s="28"/>
      <c r="Y88" s="28"/>
      <c r="Z88" s="28"/>
    </row>
    <row r="89" ht="15.75" customHeight="1">
      <c r="A89" s="36"/>
      <c r="C89" s="28"/>
      <c r="D89" s="28"/>
      <c r="E89" s="28" t="str">
        <f>ResultadosObtidos!B86</f>
        <v/>
      </c>
      <c r="F89" s="28" t="str">
        <f>IFERROR(IF(DesvioPercentual!C86&lt;&gt;"",SUBSTITUTE(TEXT(DesvioPercentual!C86,$F$2),".",","),""),"")</f>
        <v/>
      </c>
      <c r="G89" s="28" t="str">
        <f>IFERROR(IF(DesvioPercentual!D86&lt;&gt;"",SUBSTITUTE(TEXT(DesvioPercentual!D86,$F$3),".",","),""),"")</f>
        <v/>
      </c>
      <c r="H89" s="28" t="str">
        <f>IFERROR(IF(DesvioPercentual!E86&lt;&gt;"",SUBSTITUTE(TEXT(DesvioPercentual!E86,$F$3),".",","),""),"")</f>
        <v/>
      </c>
      <c r="I89" s="28" t="str">
        <f>IFERROR(IF(DesvioPercentual!F86&lt;&gt;"",SUBSTITUTE(TEXT(DesvioPercentual!F86,$F$3),".",","),""),"")</f>
        <v/>
      </c>
      <c r="J89" s="28" t="str">
        <f>IFERROR(IF(DesvioPercentual!G86&lt;&gt;"",SUBSTITUTE(TEXT(DesvioPercentual!G86,$F$3),".",","),""),"")</f>
        <v/>
      </c>
      <c r="K89" s="28" t="str">
        <f>IFERROR(IF(DesvioPercentual!H86&lt;&gt;"",SUBSTITUTE(TEXT(DesvioPercentual!H86,$F$3),".",","),""),"")</f>
        <v/>
      </c>
      <c r="L89" s="28" t="str">
        <f>IFERROR(IF(DesvioPercentual!I86&lt;&gt;"",SUBSTITUTE(TEXT(DesvioPercentual!I86,$F$3),".",","),""),"")</f>
        <v/>
      </c>
      <c r="M89" s="28"/>
      <c r="N89" s="28" t="str">
        <f t="shared" si="3"/>
        <v> &amp; </v>
      </c>
      <c r="O89" s="28" t="str">
        <f>IF(G89="","",CONCATENATE(IF(ResultadosObtidos!D86=ResultadosObtidos!$C86,"\textbf{",""),G89," \% ",IF(ResultadosObtidos!D86=ResultadosObtidos!$C86,"} &amp; "," &amp; ")))</f>
        <v/>
      </c>
      <c r="P89" s="28" t="str">
        <f>IF(H89="","",CONCATENATE(IF(ResultadosObtidos!E86=ResultadosObtidos!$C86,"\textbf{",""),H89," \% ",IF(ResultadosObtidos!E86=ResultadosObtidos!$C86,"} &amp; "," &amp; ")))</f>
        <v/>
      </c>
      <c r="Q89" s="28" t="str">
        <f>IF(I89="","",CONCATENATE(IF(ResultadosObtidos!F86=ResultadosObtidos!$C86,"\textbf{",""),I89," \% ",IF(ResultadosObtidos!F86=ResultadosObtidos!$C86,"} &amp; "," &amp; ")))</f>
        <v/>
      </c>
      <c r="R89" s="28" t="str">
        <f>IF(J89="","",CONCATENATE(IF(ResultadosObtidos!G86=ResultadosObtidos!$C86,"\textbf{",""),J89," \% ",IF(ResultadosObtidos!G86=ResultadosObtidos!$C86,"} &amp; "," &amp; ")))</f>
        <v/>
      </c>
      <c r="S89" s="28" t="str">
        <f>IF(K89="","",CONCATENATE(IF(ResultadosObtidos!H86=ResultadosObtidos!$C86,"\textbf{",""),K89," \% ",IF(ResultadosObtidos!H86=ResultadosObtidos!$C86,"} &amp; "," &amp; ")))</f>
        <v/>
      </c>
      <c r="T89" s="28" t="str">
        <f>IF(L89="","",CONCATENATE(IF(ResultadosObtidos!I86=ResultadosObtidos!$C86,"\textbf{",""),L89," \% ",IF(ResultadosObtidos!I86=ResultadosObtidos!$C86,"} \\ "," \\ ")))</f>
        <v/>
      </c>
      <c r="U89" s="28"/>
      <c r="V89" s="28"/>
      <c r="W89" s="28"/>
      <c r="X89" s="28"/>
      <c r="Y89" s="28"/>
      <c r="Z89" s="28"/>
    </row>
    <row r="90" ht="15.75" customHeight="1">
      <c r="A90" s="36"/>
      <c r="C90" s="28"/>
      <c r="D90" s="28"/>
      <c r="E90" s="28" t="str">
        <f>ResultadosObtidos!B87</f>
        <v/>
      </c>
      <c r="F90" s="28" t="str">
        <f>IFERROR(IF(DesvioPercentual!C87&lt;&gt;"",SUBSTITUTE(TEXT(DesvioPercentual!C87,$F$2),".",","),""),"")</f>
        <v/>
      </c>
      <c r="G90" s="28" t="str">
        <f>IFERROR(IF(DesvioPercentual!D87&lt;&gt;"",SUBSTITUTE(TEXT(DesvioPercentual!D87,$F$3),".",","),""),"")</f>
        <v/>
      </c>
      <c r="H90" s="28" t="str">
        <f>IFERROR(IF(DesvioPercentual!E87&lt;&gt;"",SUBSTITUTE(TEXT(DesvioPercentual!E87,$F$3),".",","),""),"")</f>
        <v/>
      </c>
      <c r="I90" s="28" t="str">
        <f>IFERROR(IF(DesvioPercentual!F87&lt;&gt;"",SUBSTITUTE(TEXT(DesvioPercentual!F87,$F$3),".",","),""),"")</f>
        <v/>
      </c>
      <c r="J90" s="28" t="str">
        <f>IFERROR(IF(DesvioPercentual!G87&lt;&gt;"",SUBSTITUTE(TEXT(DesvioPercentual!G87,$F$3),".",","),""),"")</f>
        <v/>
      </c>
      <c r="K90" s="28" t="str">
        <f>IFERROR(IF(DesvioPercentual!H87&lt;&gt;"",SUBSTITUTE(TEXT(DesvioPercentual!H87,$F$3),".",","),""),"")</f>
        <v/>
      </c>
      <c r="L90" s="28" t="str">
        <f>IFERROR(IF(DesvioPercentual!I87&lt;&gt;"",SUBSTITUTE(TEXT(DesvioPercentual!I87,$F$3),".",","),""),"")</f>
        <v/>
      </c>
      <c r="M90" s="28"/>
      <c r="N90" s="28" t="str">
        <f t="shared" si="3"/>
        <v> &amp; </v>
      </c>
      <c r="O90" s="28" t="str">
        <f>IF(G90="","",CONCATENATE(IF(ResultadosObtidos!D87=ResultadosObtidos!$C87,"\textbf{",""),G90," \% ",IF(ResultadosObtidos!D87=ResultadosObtidos!$C87,"} &amp; "," &amp; ")))</f>
        <v/>
      </c>
      <c r="P90" s="28" t="str">
        <f>IF(H90="","",CONCATENATE(IF(ResultadosObtidos!E87=ResultadosObtidos!$C87,"\textbf{",""),H90," \% ",IF(ResultadosObtidos!E87=ResultadosObtidos!$C87,"} &amp; "," &amp; ")))</f>
        <v/>
      </c>
      <c r="Q90" s="28" t="str">
        <f>IF(I90="","",CONCATENATE(IF(ResultadosObtidos!F87=ResultadosObtidos!$C87,"\textbf{",""),I90," \% ",IF(ResultadosObtidos!F87=ResultadosObtidos!$C87,"} &amp; "," &amp; ")))</f>
        <v/>
      </c>
      <c r="R90" s="28" t="str">
        <f>IF(J90="","",CONCATENATE(IF(ResultadosObtidos!G87=ResultadosObtidos!$C87,"\textbf{",""),J90," \% ",IF(ResultadosObtidos!G87=ResultadosObtidos!$C87,"} &amp; "," &amp; ")))</f>
        <v/>
      </c>
      <c r="S90" s="28" t="str">
        <f>IF(K90="","",CONCATENATE(IF(ResultadosObtidos!H87=ResultadosObtidos!$C87,"\textbf{",""),K90," \% ",IF(ResultadosObtidos!H87=ResultadosObtidos!$C87,"} &amp; "," &amp; ")))</f>
        <v/>
      </c>
      <c r="T90" s="28" t="str">
        <f>IF(L90="","",CONCATENATE(IF(ResultadosObtidos!I87=ResultadosObtidos!$C87,"\textbf{",""),L90," \% ",IF(ResultadosObtidos!I87=ResultadosObtidos!$C87,"} \\ "," \\ ")))</f>
        <v/>
      </c>
      <c r="U90" s="28"/>
      <c r="V90" s="28"/>
      <c r="W90" s="28"/>
      <c r="X90" s="28"/>
      <c r="Y90" s="28"/>
      <c r="Z90" s="28"/>
    </row>
    <row r="91" ht="15.75" customHeight="1">
      <c r="A91" s="36"/>
      <c r="C91" s="28"/>
      <c r="D91" s="28"/>
      <c r="E91" s="28" t="str">
        <f>ResultadosObtidos!B88</f>
        <v/>
      </c>
      <c r="F91" s="28" t="str">
        <f>IFERROR(IF(DesvioPercentual!C88&lt;&gt;"",SUBSTITUTE(TEXT(DesvioPercentual!C88,$F$2),".",","),""),"")</f>
        <v/>
      </c>
      <c r="G91" s="28" t="str">
        <f>IFERROR(IF(DesvioPercentual!D88&lt;&gt;"",SUBSTITUTE(TEXT(DesvioPercentual!D88,$F$3),".",","),""),"")</f>
        <v/>
      </c>
      <c r="H91" s="28" t="str">
        <f>IFERROR(IF(DesvioPercentual!E88&lt;&gt;"",SUBSTITUTE(TEXT(DesvioPercentual!E88,$F$3),".",","),""),"")</f>
        <v/>
      </c>
      <c r="I91" s="28" t="str">
        <f>IFERROR(IF(DesvioPercentual!F88&lt;&gt;"",SUBSTITUTE(TEXT(DesvioPercentual!F88,$F$3),".",","),""),"")</f>
        <v/>
      </c>
      <c r="J91" s="28" t="str">
        <f>IFERROR(IF(DesvioPercentual!G88&lt;&gt;"",SUBSTITUTE(TEXT(DesvioPercentual!G88,$F$3),".",","),""),"")</f>
        <v/>
      </c>
      <c r="K91" s="28" t="str">
        <f>IFERROR(IF(DesvioPercentual!H88&lt;&gt;"",SUBSTITUTE(TEXT(DesvioPercentual!H88,$F$3),".",","),""),"")</f>
        <v/>
      </c>
      <c r="L91" s="28" t="str">
        <f>IFERROR(IF(DesvioPercentual!I88&lt;&gt;"",SUBSTITUTE(TEXT(DesvioPercentual!I88,$F$3),".",","),""),"")</f>
        <v/>
      </c>
      <c r="M91" s="28"/>
      <c r="N91" s="28" t="str">
        <f t="shared" si="3"/>
        <v> &amp; </v>
      </c>
      <c r="O91" s="28" t="str">
        <f>IF(G91="","",CONCATENATE(IF(ResultadosObtidos!D88=ResultadosObtidos!$C88,"\textbf{",""),G91," \% ",IF(ResultadosObtidos!D88=ResultadosObtidos!$C88,"} &amp; "," &amp; ")))</f>
        <v/>
      </c>
      <c r="P91" s="28" t="str">
        <f>IF(H91="","",CONCATENATE(IF(ResultadosObtidos!E88=ResultadosObtidos!$C88,"\textbf{",""),H91," \% ",IF(ResultadosObtidos!E88=ResultadosObtidos!$C88,"} &amp; "," &amp; ")))</f>
        <v/>
      </c>
      <c r="Q91" s="28" t="str">
        <f>IF(I91="","",CONCATENATE(IF(ResultadosObtidos!F88=ResultadosObtidos!$C88,"\textbf{",""),I91," \% ",IF(ResultadosObtidos!F88=ResultadosObtidos!$C88,"} &amp; "," &amp; ")))</f>
        <v/>
      </c>
      <c r="R91" s="28" t="str">
        <f>IF(J91="","",CONCATENATE(IF(ResultadosObtidos!G88=ResultadosObtidos!$C88,"\textbf{",""),J91," \% ",IF(ResultadosObtidos!G88=ResultadosObtidos!$C88,"} &amp; "," &amp; ")))</f>
        <v/>
      </c>
      <c r="S91" s="28" t="str">
        <f>IF(K91="","",CONCATENATE(IF(ResultadosObtidos!H88=ResultadosObtidos!$C88,"\textbf{",""),K91," \% ",IF(ResultadosObtidos!H88=ResultadosObtidos!$C88,"} &amp; "," &amp; ")))</f>
        <v/>
      </c>
      <c r="T91" s="28" t="str">
        <f>IF(L91="","",CONCATENATE(IF(ResultadosObtidos!I88=ResultadosObtidos!$C88,"\textbf{",""),L91," \% ",IF(ResultadosObtidos!I88=ResultadosObtidos!$C88,"} \\ "," \\ ")))</f>
        <v/>
      </c>
      <c r="U91" s="28"/>
      <c r="V91" s="28"/>
      <c r="W91" s="28"/>
      <c r="X91" s="28"/>
      <c r="Y91" s="28"/>
      <c r="Z91" s="28"/>
    </row>
    <row r="92" ht="15.75" customHeight="1">
      <c r="A92" s="36"/>
      <c r="C92" s="28"/>
      <c r="D92" s="28"/>
      <c r="E92" s="28" t="str">
        <f>ResultadosObtidos!B89</f>
        <v/>
      </c>
      <c r="F92" s="28" t="str">
        <f>IFERROR(IF(DesvioPercentual!C89&lt;&gt;"",SUBSTITUTE(TEXT(DesvioPercentual!C89,$F$2),".",","),""),"")</f>
        <v/>
      </c>
      <c r="G92" s="28" t="str">
        <f>IFERROR(IF(DesvioPercentual!D89&lt;&gt;"",SUBSTITUTE(TEXT(DesvioPercentual!D89,$F$3),".",","),""),"")</f>
        <v/>
      </c>
      <c r="H92" s="28" t="str">
        <f>IFERROR(IF(DesvioPercentual!E89&lt;&gt;"",SUBSTITUTE(TEXT(DesvioPercentual!E89,$F$3),".",","),""),"")</f>
        <v/>
      </c>
      <c r="I92" s="28" t="str">
        <f>IFERROR(IF(DesvioPercentual!F89&lt;&gt;"",SUBSTITUTE(TEXT(DesvioPercentual!F89,$F$3),".",","),""),"")</f>
        <v/>
      </c>
      <c r="J92" s="28" t="str">
        <f>IFERROR(IF(DesvioPercentual!G89&lt;&gt;"",SUBSTITUTE(TEXT(DesvioPercentual!G89,$F$3),".",","),""),"")</f>
        <v/>
      </c>
      <c r="K92" s="28" t="str">
        <f>IFERROR(IF(DesvioPercentual!H89&lt;&gt;"",SUBSTITUTE(TEXT(DesvioPercentual!H89,$F$3),".",","),""),"")</f>
        <v/>
      </c>
      <c r="L92" s="28" t="str">
        <f>IFERROR(IF(DesvioPercentual!I89&lt;&gt;"",SUBSTITUTE(TEXT(DesvioPercentual!I89,$F$3),".",","),""),"")</f>
        <v/>
      </c>
      <c r="M92" s="28"/>
      <c r="N92" s="28" t="str">
        <f t="shared" si="3"/>
        <v> &amp; </v>
      </c>
      <c r="O92" s="28" t="str">
        <f>IF(G92="","",CONCATENATE(IF(ResultadosObtidos!D89=ResultadosObtidos!$C89,"\textbf{",""),G92," \% ",IF(ResultadosObtidos!D89=ResultadosObtidos!$C89,"} &amp; "," &amp; ")))</f>
        <v/>
      </c>
      <c r="P92" s="28" t="str">
        <f>IF(H92="","",CONCATENATE(IF(ResultadosObtidos!E89=ResultadosObtidos!$C89,"\textbf{",""),H92," \% ",IF(ResultadosObtidos!E89=ResultadosObtidos!$C89,"} &amp; "," &amp; ")))</f>
        <v/>
      </c>
      <c r="Q92" s="28" t="str">
        <f>IF(I92="","",CONCATENATE(IF(ResultadosObtidos!F89=ResultadosObtidos!$C89,"\textbf{",""),I92," \% ",IF(ResultadosObtidos!F89=ResultadosObtidos!$C89,"} &amp; "," &amp; ")))</f>
        <v/>
      </c>
      <c r="R92" s="28" t="str">
        <f>IF(J92="","",CONCATENATE(IF(ResultadosObtidos!G89=ResultadosObtidos!$C89,"\textbf{",""),J92," \% ",IF(ResultadosObtidos!G89=ResultadosObtidos!$C89,"} &amp; "," &amp; ")))</f>
        <v/>
      </c>
      <c r="S92" s="28" t="str">
        <f>IF(K92="","",CONCATENATE(IF(ResultadosObtidos!H89=ResultadosObtidos!$C89,"\textbf{",""),K92," \% ",IF(ResultadosObtidos!H89=ResultadosObtidos!$C89,"} &amp; "," &amp; ")))</f>
        <v/>
      </c>
      <c r="T92" s="28" t="str">
        <f>IF(L92="","",CONCATENATE(IF(ResultadosObtidos!I89=ResultadosObtidos!$C89,"\textbf{",""),L92," \% ",IF(ResultadosObtidos!I89=ResultadosObtidos!$C89,"} \\ "," \\ ")))</f>
        <v/>
      </c>
      <c r="U92" s="28"/>
      <c r="V92" s="28"/>
      <c r="W92" s="28"/>
      <c r="X92" s="28"/>
      <c r="Y92" s="28"/>
      <c r="Z92" s="28"/>
    </row>
    <row r="93" ht="15.75" customHeight="1">
      <c r="A93" s="36"/>
      <c r="C93" s="28"/>
      <c r="D93" s="28"/>
      <c r="E93" s="28" t="str">
        <f>ResultadosObtidos!B90</f>
        <v/>
      </c>
      <c r="F93" s="28" t="str">
        <f>IFERROR(IF(DesvioPercentual!C90&lt;&gt;"",SUBSTITUTE(TEXT(DesvioPercentual!C90,$F$2),".",","),""),"")</f>
        <v/>
      </c>
      <c r="G93" s="28" t="str">
        <f>IFERROR(IF(DesvioPercentual!D90&lt;&gt;"",SUBSTITUTE(TEXT(DesvioPercentual!D90,$F$3),".",","),""),"")</f>
        <v/>
      </c>
      <c r="H93" s="28" t="str">
        <f>IFERROR(IF(DesvioPercentual!E90&lt;&gt;"",SUBSTITUTE(TEXT(DesvioPercentual!E90,$F$3),".",","),""),"")</f>
        <v/>
      </c>
      <c r="I93" s="28" t="str">
        <f>IFERROR(IF(DesvioPercentual!F90&lt;&gt;"",SUBSTITUTE(TEXT(DesvioPercentual!F90,$F$3),".",","),""),"")</f>
        <v/>
      </c>
      <c r="J93" s="28" t="str">
        <f>IFERROR(IF(DesvioPercentual!G90&lt;&gt;"",SUBSTITUTE(TEXT(DesvioPercentual!G90,$F$3),".",","),""),"")</f>
        <v/>
      </c>
      <c r="K93" s="28" t="str">
        <f>IFERROR(IF(DesvioPercentual!H90&lt;&gt;"",SUBSTITUTE(TEXT(DesvioPercentual!H90,$F$3),".",","),""),"")</f>
        <v/>
      </c>
      <c r="L93" s="28" t="str">
        <f>IFERROR(IF(DesvioPercentual!I90&lt;&gt;"",SUBSTITUTE(TEXT(DesvioPercentual!I90,$F$3),".",","),""),"")</f>
        <v/>
      </c>
      <c r="M93" s="28"/>
      <c r="N93" s="28" t="str">
        <f t="shared" si="3"/>
        <v> &amp; </v>
      </c>
      <c r="O93" s="28" t="str">
        <f>IF(G93="","",CONCATENATE(IF(ResultadosObtidos!D90=ResultadosObtidos!$C90,"\textbf{",""),G93," \% ",IF(ResultadosObtidos!D90=ResultadosObtidos!$C90,"} &amp; "," &amp; ")))</f>
        <v/>
      </c>
      <c r="P93" s="28" t="str">
        <f>IF(H93="","",CONCATENATE(IF(ResultadosObtidos!E90=ResultadosObtidos!$C90,"\textbf{",""),H93," \% ",IF(ResultadosObtidos!E90=ResultadosObtidos!$C90,"} &amp; "," &amp; ")))</f>
        <v/>
      </c>
      <c r="Q93" s="28" t="str">
        <f>IF(I93="","",CONCATENATE(IF(ResultadosObtidos!F90=ResultadosObtidos!$C90,"\textbf{",""),I93," \% ",IF(ResultadosObtidos!F90=ResultadosObtidos!$C90,"} &amp; "," &amp; ")))</f>
        <v/>
      </c>
      <c r="R93" s="28" t="str">
        <f>IF(J93="","",CONCATENATE(IF(ResultadosObtidos!G90=ResultadosObtidos!$C90,"\textbf{",""),J93," \% ",IF(ResultadosObtidos!G90=ResultadosObtidos!$C90,"} &amp; "," &amp; ")))</f>
        <v/>
      </c>
      <c r="S93" s="28" t="str">
        <f>IF(K93="","",CONCATENATE(IF(ResultadosObtidos!H90=ResultadosObtidos!$C90,"\textbf{",""),K93," \% ",IF(ResultadosObtidos!H90=ResultadosObtidos!$C90,"} &amp; "," &amp; ")))</f>
        <v/>
      </c>
      <c r="T93" s="28" t="str">
        <f>IF(L93="","",CONCATENATE(IF(ResultadosObtidos!I90=ResultadosObtidos!$C90,"\textbf{",""),L93," \% ",IF(ResultadosObtidos!I90=ResultadosObtidos!$C90,"} \\ "," \\ ")))</f>
        <v/>
      </c>
      <c r="U93" s="28"/>
      <c r="V93" s="28"/>
      <c r="W93" s="28"/>
      <c r="X93" s="28"/>
      <c r="Y93" s="28"/>
      <c r="Z93" s="28"/>
    </row>
    <row r="94" ht="15.75" customHeight="1">
      <c r="A94" s="36"/>
      <c r="C94" s="28"/>
      <c r="D94" s="28"/>
      <c r="E94" s="28" t="str">
        <f>ResultadosObtidos!B91</f>
        <v/>
      </c>
      <c r="F94" s="28" t="str">
        <f>IFERROR(IF(DesvioPercentual!C91&lt;&gt;"",SUBSTITUTE(TEXT(DesvioPercentual!C91,$F$2),".",","),""),"")</f>
        <v/>
      </c>
      <c r="G94" s="28" t="str">
        <f>IFERROR(IF(DesvioPercentual!D91&lt;&gt;"",SUBSTITUTE(TEXT(DesvioPercentual!D91,$F$3),".",","),""),"")</f>
        <v/>
      </c>
      <c r="H94" s="28" t="str">
        <f>IFERROR(IF(DesvioPercentual!E91&lt;&gt;"",SUBSTITUTE(TEXT(DesvioPercentual!E91,$F$3),".",","),""),"")</f>
        <v/>
      </c>
      <c r="I94" s="28" t="str">
        <f>IFERROR(IF(DesvioPercentual!F91&lt;&gt;"",SUBSTITUTE(TEXT(DesvioPercentual!F91,$F$3),".",","),""),"")</f>
        <v/>
      </c>
      <c r="J94" s="28" t="str">
        <f>IFERROR(IF(DesvioPercentual!G91&lt;&gt;"",SUBSTITUTE(TEXT(DesvioPercentual!G91,$F$3),".",","),""),"")</f>
        <v/>
      </c>
      <c r="K94" s="28" t="str">
        <f>IFERROR(IF(DesvioPercentual!H91&lt;&gt;"",SUBSTITUTE(TEXT(DesvioPercentual!H91,$F$3),".",","),""),"")</f>
        <v/>
      </c>
      <c r="L94" s="28" t="str">
        <f>IFERROR(IF(DesvioPercentual!I91&lt;&gt;"",SUBSTITUTE(TEXT(DesvioPercentual!I91,$F$3),".",","),""),"")</f>
        <v/>
      </c>
      <c r="M94" s="28"/>
      <c r="N94" s="28" t="str">
        <f t="shared" si="3"/>
        <v> &amp; </v>
      </c>
      <c r="O94" s="28" t="str">
        <f>IF(G94="","",CONCATENATE(IF(ResultadosObtidos!D91=ResultadosObtidos!$C91,"\textbf{",""),G94," \% ",IF(ResultadosObtidos!D91=ResultadosObtidos!$C91,"} &amp; "," &amp; ")))</f>
        <v/>
      </c>
      <c r="P94" s="28" t="str">
        <f>IF(H94="","",CONCATENATE(IF(ResultadosObtidos!E91=ResultadosObtidos!$C91,"\textbf{",""),H94," \% ",IF(ResultadosObtidos!E91=ResultadosObtidos!$C91,"} &amp; "," &amp; ")))</f>
        <v/>
      </c>
      <c r="Q94" s="28" t="str">
        <f>IF(I94="","",CONCATENATE(IF(ResultadosObtidos!F91=ResultadosObtidos!$C91,"\textbf{",""),I94," \% ",IF(ResultadosObtidos!F91=ResultadosObtidos!$C91,"} &amp; "," &amp; ")))</f>
        <v/>
      </c>
      <c r="R94" s="28" t="str">
        <f>IF(J94="","",CONCATENATE(IF(ResultadosObtidos!G91=ResultadosObtidos!$C91,"\textbf{",""),J94," \% ",IF(ResultadosObtidos!G91=ResultadosObtidos!$C91,"} &amp; "," &amp; ")))</f>
        <v/>
      </c>
      <c r="S94" s="28" t="str">
        <f>IF(K94="","",CONCATENATE(IF(ResultadosObtidos!H91=ResultadosObtidos!$C91,"\textbf{",""),K94," \% ",IF(ResultadosObtidos!H91=ResultadosObtidos!$C91,"} &amp; "," &amp; ")))</f>
        <v/>
      </c>
      <c r="T94" s="28" t="str">
        <f>IF(L94="","",CONCATENATE(IF(ResultadosObtidos!I91=ResultadosObtidos!$C91,"\textbf{",""),L94," \% ",IF(ResultadosObtidos!I91=ResultadosObtidos!$C91,"} \\ "," \\ ")))</f>
        <v/>
      </c>
      <c r="U94" s="28"/>
      <c r="V94" s="28"/>
      <c r="W94" s="28"/>
      <c r="X94" s="28"/>
      <c r="Y94" s="28"/>
      <c r="Z94" s="28"/>
    </row>
    <row r="95" ht="15.75" customHeight="1">
      <c r="A95" s="36"/>
      <c r="C95" s="28"/>
      <c r="D95" s="28"/>
      <c r="E95" s="28" t="str">
        <f>ResultadosObtidos!B92</f>
        <v/>
      </c>
      <c r="F95" s="28" t="str">
        <f>IFERROR(IF(DesvioPercentual!C92&lt;&gt;"",SUBSTITUTE(TEXT(DesvioPercentual!C92,$F$2),".",","),""),"")</f>
        <v/>
      </c>
      <c r="G95" s="28" t="str">
        <f>IFERROR(IF(DesvioPercentual!D92&lt;&gt;"",SUBSTITUTE(TEXT(DesvioPercentual!D92,$F$3),".",","),""),"")</f>
        <v/>
      </c>
      <c r="H95" s="28" t="str">
        <f>IFERROR(IF(DesvioPercentual!E92&lt;&gt;"",SUBSTITUTE(TEXT(DesvioPercentual!E92,$F$3),".",","),""),"")</f>
        <v/>
      </c>
      <c r="I95" s="28" t="str">
        <f>IFERROR(IF(DesvioPercentual!F92&lt;&gt;"",SUBSTITUTE(TEXT(DesvioPercentual!F92,$F$3),".",","),""),"")</f>
        <v/>
      </c>
      <c r="J95" s="28" t="str">
        <f>IFERROR(IF(DesvioPercentual!G92&lt;&gt;"",SUBSTITUTE(TEXT(DesvioPercentual!G92,$F$3),".",","),""),"")</f>
        <v/>
      </c>
      <c r="K95" s="28" t="str">
        <f>IFERROR(IF(DesvioPercentual!H92&lt;&gt;"",SUBSTITUTE(TEXT(DesvioPercentual!H92,$F$3),".",","),""),"")</f>
        <v/>
      </c>
      <c r="L95" s="28" t="str">
        <f>IFERROR(IF(DesvioPercentual!I92&lt;&gt;"",SUBSTITUTE(TEXT(DesvioPercentual!I92,$F$3),".",","),""),"")</f>
        <v/>
      </c>
      <c r="M95" s="28"/>
      <c r="N95" s="28" t="str">
        <f t="shared" si="3"/>
        <v> &amp; </v>
      </c>
      <c r="O95" s="28" t="str">
        <f>IF(G95="","",CONCATENATE(IF(ResultadosObtidos!D92=ResultadosObtidos!$C92,"\textbf{",""),G95," \% ",IF(ResultadosObtidos!D92=ResultadosObtidos!$C92,"} &amp; "," &amp; ")))</f>
        <v/>
      </c>
      <c r="P95" s="28" t="str">
        <f>IF(H95="","",CONCATENATE(IF(ResultadosObtidos!E92=ResultadosObtidos!$C92,"\textbf{",""),H95," \% ",IF(ResultadosObtidos!E92=ResultadosObtidos!$C92,"} &amp; "," &amp; ")))</f>
        <v/>
      </c>
      <c r="Q95" s="28" t="str">
        <f>IF(I95="","",CONCATENATE(IF(ResultadosObtidos!F92=ResultadosObtidos!$C92,"\textbf{",""),I95," \% ",IF(ResultadosObtidos!F92=ResultadosObtidos!$C92,"} &amp; "," &amp; ")))</f>
        <v/>
      </c>
      <c r="R95" s="28" t="str">
        <f>IF(J95="","",CONCATENATE(IF(ResultadosObtidos!G92=ResultadosObtidos!$C92,"\textbf{",""),J95," \% ",IF(ResultadosObtidos!G92=ResultadosObtidos!$C92,"} &amp; "," &amp; ")))</f>
        <v/>
      </c>
      <c r="S95" s="28" t="str">
        <f>IF(K95="","",CONCATENATE(IF(ResultadosObtidos!H92=ResultadosObtidos!$C92,"\textbf{",""),K95," \% ",IF(ResultadosObtidos!H92=ResultadosObtidos!$C92,"} &amp; "," &amp; ")))</f>
        <v/>
      </c>
      <c r="T95" s="28" t="str">
        <f>IF(L95="","",CONCATENATE(IF(ResultadosObtidos!I92=ResultadosObtidos!$C92,"\textbf{",""),L95," \% ",IF(ResultadosObtidos!I92=ResultadosObtidos!$C92,"} \\ "," \\ ")))</f>
        <v/>
      </c>
      <c r="U95" s="28"/>
      <c r="V95" s="28"/>
      <c r="W95" s="28"/>
      <c r="X95" s="28"/>
      <c r="Y95" s="28"/>
      <c r="Z95" s="28"/>
    </row>
    <row r="96" ht="15.75" customHeight="1">
      <c r="A96" s="36"/>
      <c r="C96" s="28"/>
      <c r="D96" s="28"/>
      <c r="E96" s="28" t="str">
        <f>ResultadosObtidos!B93</f>
        <v/>
      </c>
      <c r="F96" s="28" t="str">
        <f>IFERROR(IF(DesvioPercentual!C93&lt;&gt;"",SUBSTITUTE(TEXT(DesvioPercentual!C93,$F$2),".",","),""),"")</f>
        <v/>
      </c>
      <c r="G96" s="28" t="str">
        <f>IFERROR(IF(DesvioPercentual!D93&lt;&gt;"",SUBSTITUTE(TEXT(DesvioPercentual!D93,$F$3),".",","),""),"")</f>
        <v/>
      </c>
      <c r="H96" s="28" t="str">
        <f>IFERROR(IF(DesvioPercentual!E93&lt;&gt;"",SUBSTITUTE(TEXT(DesvioPercentual!E93,$F$3),".",","),""),"")</f>
        <v/>
      </c>
      <c r="I96" s="28" t="str">
        <f>IFERROR(IF(DesvioPercentual!F93&lt;&gt;"",SUBSTITUTE(TEXT(DesvioPercentual!F93,$F$3),".",","),""),"")</f>
        <v/>
      </c>
      <c r="J96" s="28" t="str">
        <f>IFERROR(IF(DesvioPercentual!G93&lt;&gt;"",SUBSTITUTE(TEXT(DesvioPercentual!G93,$F$3),".",","),""),"")</f>
        <v/>
      </c>
      <c r="K96" s="28" t="str">
        <f>IFERROR(IF(DesvioPercentual!H93&lt;&gt;"",SUBSTITUTE(TEXT(DesvioPercentual!H93,$F$3),".",","),""),"")</f>
        <v/>
      </c>
      <c r="L96" s="28" t="str">
        <f>IFERROR(IF(DesvioPercentual!I93&lt;&gt;"",SUBSTITUTE(TEXT(DesvioPercentual!I93,$F$3),".",","),""),"")</f>
        <v/>
      </c>
      <c r="M96" s="28"/>
      <c r="N96" s="28" t="str">
        <f t="shared" si="3"/>
        <v> &amp; </v>
      </c>
      <c r="O96" s="28" t="str">
        <f>IF(G96="","",CONCATENATE(IF(ResultadosObtidos!D93=ResultadosObtidos!$C93,"\textbf{",""),G96," \% ",IF(ResultadosObtidos!D93=ResultadosObtidos!$C93,"} &amp; "," &amp; ")))</f>
        <v/>
      </c>
      <c r="P96" s="28" t="str">
        <f>IF(H96="","",CONCATENATE(IF(ResultadosObtidos!E93=ResultadosObtidos!$C93,"\textbf{",""),H96," \% ",IF(ResultadosObtidos!E93=ResultadosObtidos!$C93,"} &amp; "," &amp; ")))</f>
        <v/>
      </c>
      <c r="Q96" s="28" t="str">
        <f>IF(I96="","",CONCATENATE(IF(ResultadosObtidos!F93=ResultadosObtidos!$C93,"\textbf{",""),I96," \% ",IF(ResultadosObtidos!F93=ResultadosObtidos!$C93,"} &amp; "," &amp; ")))</f>
        <v/>
      </c>
      <c r="R96" s="28" t="str">
        <f>IF(J96="","",CONCATENATE(IF(ResultadosObtidos!G93=ResultadosObtidos!$C93,"\textbf{",""),J96," \% ",IF(ResultadosObtidos!G93=ResultadosObtidos!$C93,"} &amp; "," &amp; ")))</f>
        <v/>
      </c>
      <c r="S96" s="28" t="str">
        <f>IF(K96="","",CONCATENATE(IF(ResultadosObtidos!H93=ResultadosObtidos!$C93,"\textbf{",""),K96," \% ",IF(ResultadosObtidos!H93=ResultadosObtidos!$C93,"} &amp; "," &amp; ")))</f>
        <v/>
      </c>
      <c r="T96" s="28" t="str">
        <f>IF(L96="","",CONCATENATE(IF(ResultadosObtidos!I93=ResultadosObtidos!$C93,"\textbf{",""),L96," \% ",IF(ResultadosObtidos!I93=ResultadosObtidos!$C93,"} \\ "," \\ ")))</f>
        <v/>
      </c>
      <c r="U96" s="28"/>
      <c r="V96" s="28"/>
      <c r="W96" s="28"/>
      <c r="X96" s="28"/>
      <c r="Y96" s="28"/>
      <c r="Z96" s="28"/>
    </row>
    <row r="97" ht="15.75" customHeight="1">
      <c r="A97" s="36"/>
      <c r="C97" s="28"/>
      <c r="D97" s="28"/>
      <c r="E97" s="28" t="str">
        <f>ResultadosObtidos!B94</f>
        <v/>
      </c>
      <c r="F97" s="28" t="str">
        <f>IFERROR(IF(DesvioPercentual!C94&lt;&gt;"",SUBSTITUTE(TEXT(DesvioPercentual!C94,$F$2),".",","),""),"")</f>
        <v/>
      </c>
      <c r="G97" s="28" t="str">
        <f>IFERROR(IF(DesvioPercentual!D94&lt;&gt;"",SUBSTITUTE(TEXT(DesvioPercentual!D94,$F$3),".",","),""),"")</f>
        <v/>
      </c>
      <c r="H97" s="28" t="str">
        <f>IFERROR(IF(DesvioPercentual!E94&lt;&gt;"",SUBSTITUTE(TEXT(DesvioPercentual!E94,$F$3),".",","),""),"")</f>
        <v/>
      </c>
      <c r="I97" s="28" t="str">
        <f>IFERROR(IF(DesvioPercentual!F94&lt;&gt;"",SUBSTITUTE(TEXT(DesvioPercentual!F94,$F$3),".",","),""),"")</f>
        <v/>
      </c>
      <c r="J97" s="28" t="str">
        <f>IFERROR(IF(DesvioPercentual!G94&lt;&gt;"",SUBSTITUTE(TEXT(DesvioPercentual!G94,$F$3),".",","),""),"")</f>
        <v/>
      </c>
      <c r="K97" s="28" t="str">
        <f>IFERROR(IF(DesvioPercentual!H94&lt;&gt;"",SUBSTITUTE(TEXT(DesvioPercentual!H94,$F$3),".",","),""),"")</f>
        <v/>
      </c>
      <c r="L97" s="28" t="str">
        <f>IFERROR(IF(DesvioPercentual!I94&lt;&gt;"",SUBSTITUTE(TEXT(DesvioPercentual!I94,$F$3),".",","),""),"")</f>
        <v/>
      </c>
      <c r="M97" s="28"/>
      <c r="N97" s="28" t="str">
        <f t="shared" si="3"/>
        <v> &amp; </v>
      </c>
      <c r="O97" s="28" t="str">
        <f>IF(G97="","",CONCATENATE(IF(ResultadosObtidos!D94=ResultadosObtidos!$C94,"\textbf{",""),G97," \% ",IF(ResultadosObtidos!D94=ResultadosObtidos!$C94,"} &amp; "," &amp; ")))</f>
        <v/>
      </c>
      <c r="P97" s="28" t="str">
        <f>IF(H97="","",CONCATENATE(IF(ResultadosObtidos!E94=ResultadosObtidos!$C94,"\textbf{",""),H97," \% ",IF(ResultadosObtidos!E94=ResultadosObtidos!$C94,"} &amp; "," &amp; ")))</f>
        <v/>
      </c>
      <c r="Q97" s="28" t="str">
        <f>IF(I97="","",CONCATENATE(IF(ResultadosObtidos!F94=ResultadosObtidos!$C94,"\textbf{",""),I97," \% ",IF(ResultadosObtidos!F94=ResultadosObtidos!$C94,"} &amp; "," &amp; ")))</f>
        <v/>
      </c>
      <c r="R97" s="28" t="str">
        <f>IF(J97="","",CONCATENATE(IF(ResultadosObtidos!G94=ResultadosObtidos!$C94,"\textbf{",""),J97," \% ",IF(ResultadosObtidos!G94=ResultadosObtidos!$C94,"} &amp; "," &amp; ")))</f>
        <v/>
      </c>
      <c r="S97" s="28" t="str">
        <f>IF(K97="","",CONCATENATE(IF(ResultadosObtidos!H94=ResultadosObtidos!$C94,"\textbf{",""),K97," \% ",IF(ResultadosObtidos!H94=ResultadosObtidos!$C94,"} &amp; "," &amp; ")))</f>
        <v/>
      </c>
      <c r="T97" s="28" t="str">
        <f>IF(L97="","",CONCATENATE(IF(ResultadosObtidos!I94=ResultadosObtidos!$C94,"\textbf{",""),L97," \% ",IF(ResultadosObtidos!I94=ResultadosObtidos!$C94,"} \\ "," \\ ")))</f>
        <v/>
      </c>
      <c r="U97" s="28"/>
      <c r="V97" s="28"/>
      <c r="W97" s="28"/>
      <c r="X97" s="28"/>
      <c r="Y97" s="28"/>
      <c r="Z97" s="28"/>
    </row>
    <row r="98" ht="15.75" customHeight="1">
      <c r="A98" s="36"/>
      <c r="C98" s="28"/>
      <c r="D98" s="28"/>
      <c r="E98" s="28" t="str">
        <f>ResultadosObtidos!B95</f>
        <v/>
      </c>
      <c r="F98" s="28" t="str">
        <f>IFERROR(IF(DesvioPercentual!C95&lt;&gt;"",SUBSTITUTE(TEXT(DesvioPercentual!C95,$F$2),".",","),""),"")</f>
        <v/>
      </c>
      <c r="G98" s="28" t="str">
        <f>IFERROR(IF(DesvioPercentual!D95&lt;&gt;"",SUBSTITUTE(TEXT(DesvioPercentual!D95,$F$3),".",","),""),"")</f>
        <v/>
      </c>
      <c r="H98" s="28" t="str">
        <f>IFERROR(IF(DesvioPercentual!E95&lt;&gt;"",SUBSTITUTE(TEXT(DesvioPercentual!E95,$F$3),".",","),""),"")</f>
        <v/>
      </c>
      <c r="I98" s="28" t="str">
        <f>IFERROR(IF(DesvioPercentual!F95&lt;&gt;"",SUBSTITUTE(TEXT(DesvioPercentual!F95,$F$3),".",","),""),"")</f>
        <v/>
      </c>
      <c r="J98" s="28" t="str">
        <f>IFERROR(IF(DesvioPercentual!G95&lt;&gt;"",SUBSTITUTE(TEXT(DesvioPercentual!G95,$F$3),".",","),""),"")</f>
        <v/>
      </c>
      <c r="K98" s="28" t="str">
        <f>IFERROR(IF(DesvioPercentual!H95&lt;&gt;"",SUBSTITUTE(TEXT(DesvioPercentual!H95,$F$3),".",","),""),"")</f>
        <v/>
      </c>
      <c r="L98" s="28" t="str">
        <f>IFERROR(IF(DesvioPercentual!I95&lt;&gt;"",SUBSTITUTE(TEXT(DesvioPercentual!I95,$F$3),".",","),""),"")</f>
        <v/>
      </c>
      <c r="M98" s="28"/>
      <c r="N98" s="28" t="str">
        <f t="shared" si="3"/>
        <v> &amp; </v>
      </c>
      <c r="O98" s="28" t="str">
        <f>IF(G98="","",CONCATENATE(IF(ResultadosObtidos!D95=ResultadosObtidos!$C95,"\textbf{",""),G98," \% ",IF(ResultadosObtidos!D95=ResultadosObtidos!$C95,"} &amp; "," &amp; ")))</f>
        <v/>
      </c>
      <c r="P98" s="28" t="str">
        <f>IF(H98="","",CONCATENATE(IF(ResultadosObtidos!E95=ResultadosObtidos!$C95,"\textbf{",""),H98," \% ",IF(ResultadosObtidos!E95=ResultadosObtidos!$C95,"} &amp; "," &amp; ")))</f>
        <v/>
      </c>
      <c r="Q98" s="28" t="str">
        <f>IF(I98="","",CONCATENATE(IF(ResultadosObtidos!F95=ResultadosObtidos!$C95,"\textbf{",""),I98," \% ",IF(ResultadosObtidos!F95=ResultadosObtidos!$C95,"} &amp; "," &amp; ")))</f>
        <v/>
      </c>
      <c r="R98" s="28" t="str">
        <f>IF(J98="","",CONCATENATE(IF(ResultadosObtidos!G95=ResultadosObtidos!$C95,"\textbf{",""),J98," \% ",IF(ResultadosObtidos!G95=ResultadosObtidos!$C95,"} &amp; "," &amp; ")))</f>
        <v/>
      </c>
      <c r="S98" s="28" t="str">
        <f>IF(K98="","",CONCATENATE(IF(ResultadosObtidos!H95=ResultadosObtidos!$C95,"\textbf{",""),K98," \% ",IF(ResultadosObtidos!H95=ResultadosObtidos!$C95,"} &amp; "," &amp; ")))</f>
        <v/>
      </c>
      <c r="T98" s="28" t="str">
        <f>IF(L98="","",CONCATENATE(IF(ResultadosObtidos!I95=ResultadosObtidos!$C95,"\textbf{",""),L98," \% ",IF(ResultadosObtidos!I95=ResultadosObtidos!$C95,"} \\ "," \\ ")))</f>
        <v/>
      </c>
      <c r="U98" s="28"/>
      <c r="V98" s="28"/>
      <c r="W98" s="28"/>
      <c r="X98" s="28"/>
      <c r="Y98" s="28"/>
      <c r="Z98" s="28"/>
    </row>
    <row r="99" ht="15.75" customHeight="1">
      <c r="A99" s="36"/>
      <c r="C99" s="28"/>
      <c r="D99" s="28"/>
      <c r="E99" s="28" t="str">
        <f>ResultadosObtidos!B96</f>
        <v/>
      </c>
      <c r="F99" s="28" t="str">
        <f>IFERROR(IF(DesvioPercentual!C96&lt;&gt;"",SUBSTITUTE(TEXT(DesvioPercentual!C96,$F$2),".",","),""),"")</f>
        <v/>
      </c>
      <c r="G99" s="28" t="str">
        <f>IFERROR(IF(DesvioPercentual!D96&lt;&gt;"",SUBSTITUTE(TEXT(DesvioPercentual!D96,$F$3),".",","),""),"")</f>
        <v/>
      </c>
      <c r="H99" s="28" t="str">
        <f>IFERROR(IF(DesvioPercentual!E96&lt;&gt;"",SUBSTITUTE(TEXT(DesvioPercentual!E96,$F$3),".",","),""),"")</f>
        <v/>
      </c>
      <c r="I99" s="28" t="str">
        <f>IFERROR(IF(DesvioPercentual!F96&lt;&gt;"",SUBSTITUTE(TEXT(DesvioPercentual!F96,$F$3),".",","),""),"")</f>
        <v/>
      </c>
      <c r="J99" s="28" t="str">
        <f>IFERROR(IF(DesvioPercentual!G96&lt;&gt;"",SUBSTITUTE(TEXT(DesvioPercentual!G96,$F$3),".",","),""),"")</f>
        <v/>
      </c>
      <c r="K99" s="28" t="str">
        <f>IFERROR(IF(DesvioPercentual!H96&lt;&gt;"",SUBSTITUTE(TEXT(DesvioPercentual!H96,$F$3),".",","),""),"")</f>
        <v/>
      </c>
      <c r="L99" s="28" t="str">
        <f>IFERROR(IF(DesvioPercentual!I96&lt;&gt;"",SUBSTITUTE(TEXT(DesvioPercentual!I96,$F$3),".",","),""),"")</f>
        <v/>
      </c>
      <c r="M99" s="28"/>
      <c r="N99" s="28" t="str">
        <f t="shared" si="3"/>
        <v> &amp; </v>
      </c>
      <c r="O99" s="28" t="str">
        <f>IF(G99="","",CONCATENATE(IF(ResultadosObtidos!D96=ResultadosObtidos!$C96,"\textbf{",""),G99," \% ",IF(ResultadosObtidos!D96=ResultadosObtidos!$C96,"} &amp; "," &amp; ")))</f>
        <v/>
      </c>
      <c r="P99" s="28" t="str">
        <f>IF(H99="","",CONCATENATE(IF(ResultadosObtidos!E96=ResultadosObtidos!$C96,"\textbf{",""),H99," \% ",IF(ResultadosObtidos!E96=ResultadosObtidos!$C96,"} &amp; "," &amp; ")))</f>
        <v/>
      </c>
      <c r="Q99" s="28" t="str">
        <f>IF(I99="","",CONCATENATE(IF(ResultadosObtidos!F96=ResultadosObtidos!$C96,"\textbf{",""),I99," \% ",IF(ResultadosObtidos!F96=ResultadosObtidos!$C96,"} &amp; "," &amp; ")))</f>
        <v/>
      </c>
      <c r="R99" s="28" t="str">
        <f>IF(J99="","",CONCATENATE(IF(ResultadosObtidos!G96=ResultadosObtidos!$C96,"\textbf{",""),J99," \% ",IF(ResultadosObtidos!G96=ResultadosObtidos!$C96,"} &amp; "," &amp; ")))</f>
        <v/>
      </c>
      <c r="S99" s="28" t="str">
        <f>IF(K99="","",CONCATENATE(IF(ResultadosObtidos!H96=ResultadosObtidos!$C96,"\textbf{",""),K99," \% ",IF(ResultadosObtidos!H96=ResultadosObtidos!$C96,"} &amp; "," &amp; ")))</f>
        <v/>
      </c>
      <c r="T99" s="28" t="str">
        <f>IF(L99="","",CONCATENATE(IF(ResultadosObtidos!I96=ResultadosObtidos!$C96,"\textbf{",""),L99," \% ",IF(ResultadosObtidos!I96=ResultadosObtidos!$C96,"} \\ "," \\ ")))</f>
        <v/>
      </c>
      <c r="U99" s="28"/>
      <c r="V99" s="28"/>
      <c r="W99" s="28"/>
      <c r="X99" s="28"/>
      <c r="Y99" s="28"/>
      <c r="Z99" s="28"/>
    </row>
    <row r="100" ht="15.75" customHeight="1">
      <c r="A100" s="36"/>
      <c r="C100" s="28"/>
      <c r="D100" s="28"/>
      <c r="E100" s="28" t="str">
        <f>ResultadosObtidos!B97</f>
        <v/>
      </c>
      <c r="F100" s="28" t="str">
        <f>IFERROR(IF(DesvioPercentual!C97&lt;&gt;"",SUBSTITUTE(TEXT(DesvioPercentual!C97,$F$2),".",","),""),"")</f>
        <v/>
      </c>
      <c r="G100" s="28" t="str">
        <f>IFERROR(IF(DesvioPercentual!D97&lt;&gt;"",SUBSTITUTE(TEXT(DesvioPercentual!D97,$F$3),".",","),""),"")</f>
        <v/>
      </c>
      <c r="H100" s="28" t="str">
        <f>IFERROR(IF(DesvioPercentual!E97&lt;&gt;"",SUBSTITUTE(TEXT(DesvioPercentual!E97,$F$3),".",","),""),"")</f>
        <v/>
      </c>
      <c r="I100" s="28" t="str">
        <f>IFERROR(IF(DesvioPercentual!F97&lt;&gt;"",SUBSTITUTE(TEXT(DesvioPercentual!F97,$F$3),".",","),""),"")</f>
        <v/>
      </c>
      <c r="J100" s="28" t="str">
        <f>IFERROR(IF(DesvioPercentual!G97&lt;&gt;"",SUBSTITUTE(TEXT(DesvioPercentual!G97,$F$3),".",","),""),"")</f>
        <v/>
      </c>
      <c r="K100" s="28" t="str">
        <f>IFERROR(IF(DesvioPercentual!H97&lt;&gt;"",SUBSTITUTE(TEXT(DesvioPercentual!H97,$F$3),".",","),""),"")</f>
        <v/>
      </c>
      <c r="L100" s="28" t="str">
        <f>IFERROR(IF(DesvioPercentual!I97&lt;&gt;"",SUBSTITUTE(TEXT(DesvioPercentual!I97,$F$3),".",","),""),"")</f>
        <v/>
      </c>
      <c r="M100" s="28"/>
      <c r="N100" s="28" t="str">
        <f t="shared" si="3"/>
        <v> &amp; </v>
      </c>
      <c r="O100" s="28" t="str">
        <f>IF(G100="","",CONCATENATE(IF(ResultadosObtidos!D97=ResultadosObtidos!$C97,"\textbf{",""),G100," \% ",IF(ResultadosObtidos!D97=ResultadosObtidos!$C97,"} &amp; "," &amp; ")))</f>
        <v/>
      </c>
      <c r="P100" s="28" t="str">
        <f>IF(H100="","",CONCATENATE(IF(ResultadosObtidos!E97=ResultadosObtidos!$C97,"\textbf{",""),H100," \% ",IF(ResultadosObtidos!E97=ResultadosObtidos!$C97,"} &amp; "," &amp; ")))</f>
        <v/>
      </c>
      <c r="Q100" s="28" t="str">
        <f>IF(I100="","",CONCATENATE(IF(ResultadosObtidos!F97=ResultadosObtidos!$C97,"\textbf{",""),I100," \% ",IF(ResultadosObtidos!F97=ResultadosObtidos!$C97,"} &amp; "," &amp; ")))</f>
        <v/>
      </c>
      <c r="R100" s="28" t="str">
        <f>IF(J100="","",CONCATENATE(IF(ResultadosObtidos!G97=ResultadosObtidos!$C97,"\textbf{",""),J100," \% ",IF(ResultadosObtidos!G97=ResultadosObtidos!$C97,"} &amp; "," &amp; ")))</f>
        <v/>
      </c>
      <c r="S100" s="28" t="str">
        <f>IF(K100="","",CONCATENATE(IF(ResultadosObtidos!H97=ResultadosObtidos!$C97,"\textbf{",""),K100," \% ",IF(ResultadosObtidos!H97=ResultadosObtidos!$C97,"} &amp; "," &amp; ")))</f>
        <v/>
      </c>
      <c r="T100" s="28" t="str">
        <f>IF(L100="","",CONCATENATE(IF(ResultadosObtidos!I97=ResultadosObtidos!$C97,"\textbf{",""),L100," \% ",IF(ResultadosObtidos!I97=ResultadosObtidos!$C97,"} \\ "," \\ ")))</f>
        <v/>
      </c>
      <c r="U100" s="28"/>
      <c r="V100" s="28"/>
      <c r="W100" s="28"/>
      <c r="X100" s="28"/>
      <c r="Y100" s="28"/>
      <c r="Z100" s="28"/>
    </row>
    <row r="101" ht="15.75" customHeight="1">
      <c r="A101" s="36"/>
      <c r="C101" s="28"/>
      <c r="D101" s="28"/>
      <c r="E101" s="28" t="str">
        <f>ResultadosObtidos!B98</f>
        <v/>
      </c>
      <c r="F101" s="28" t="str">
        <f>IFERROR(IF(DesvioPercentual!C98&lt;&gt;"",SUBSTITUTE(TEXT(DesvioPercentual!C98,$F$2),".",","),""),"")</f>
        <v/>
      </c>
      <c r="G101" s="28" t="str">
        <f>IFERROR(IF(DesvioPercentual!D98&lt;&gt;"",SUBSTITUTE(TEXT(DesvioPercentual!D98,$F$3),".",","),""),"")</f>
        <v/>
      </c>
      <c r="H101" s="28" t="str">
        <f>IFERROR(IF(DesvioPercentual!E98&lt;&gt;"",SUBSTITUTE(TEXT(DesvioPercentual!E98,$F$3),".",","),""),"")</f>
        <v/>
      </c>
      <c r="I101" s="28" t="str">
        <f>IFERROR(IF(DesvioPercentual!F98&lt;&gt;"",SUBSTITUTE(TEXT(DesvioPercentual!F98,$F$3),".",","),""),"")</f>
        <v/>
      </c>
      <c r="J101" s="28" t="str">
        <f>IFERROR(IF(DesvioPercentual!G98&lt;&gt;"",SUBSTITUTE(TEXT(DesvioPercentual!G98,$F$3),".",","),""),"")</f>
        <v/>
      </c>
      <c r="K101" s="28" t="str">
        <f>IFERROR(IF(DesvioPercentual!H98&lt;&gt;"",SUBSTITUTE(TEXT(DesvioPercentual!H98,$F$3),".",","),""),"")</f>
        <v/>
      </c>
      <c r="L101" s="28" t="str">
        <f>IFERROR(IF(DesvioPercentual!I98&lt;&gt;"",SUBSTITUTE(TEXT(DesvioPercentual!I98,$F$3),".",","),""),"")</f>
        <v/>
      </c>
      <c r="M101" s="28"/>
      <c r="N101" s="28" t="str">
        <f t="shared" si="3"/>
        <v> &amp; </v>
      </c>
      <c r="O101" s="28" t="str">
        <f>IF(G101="","",CONCATENATE(IF(ResultadosObtidos!D98=ResultadosObtidos!$C98,"\textbf{",""),G101," \% ",IF(ResultadosObtidos!D98=ResultadosObtidos!$C98,"} &amp; "," &amp; ")))</f>
        <v/>
      </c>
      <c r="P101" s="28" t="str">
        <f>IF(H101="","",CONCATENATE(IF(ResultadosObtidos!E98=ResultadosObtidos!$C98,"\textbf{",""),H101," \% ",IF(ResultadosObtidos!E98=ResultadosObtidos!$C98,"} &amp; "," &amp; ")))</f>
        <v/>
      </c>
      <c r="Q101" s="28" t="str">
        <f>IF(I101="","",CONCATENATE(IF(ResultadosObtidos!F98=ResultadosObtidos!$C98,"\textbf{",""),I101," \% ",IF(ResultadosObtidos!F98=ResultadosObtidos!$C98,"} &amp; "," &amp; ")))</f>
        <v/>
      </c>
      <c r="R101" s="28" t="str">
        <f>IF(J101="","",CONCATENATE(IF(ResultadosObtidos!G98=ResultadosObtidos!$C98,"\textbf{",""),J101," \% ",IF(ResultadosObtidos!G98=ResultadosObtidos!$C98,"} &amp; "," &amp; ")))</f>
        <v/>
      </c>
      <c r="S101" s="28" t="str">
        <f>IF(K101="","",CONCATENATE(IF(ResultadosObtidos!H98=ResultadosObtidos!$C98,"\textbf{",""),K101," \% ",IF(ResultadosObtidos!H98=ResultadosObtidos!$C98,"} &amp; "," &amp; ")))</f>
        <v/>
      </c>
      <c r="T101" s="28" t="str">
        <f>IF(L101="","",CONCATENATE(IF(ResultadosObtidos!I98=ResultadosObtidos!$C98,"\textbf{",""),L101," \% ",IF(ResultadosObtidos!I98=ResultadosObtidos!$C98,"} \\ "," \\ ")))</f>
        <v/>
      </c>
      <c r="U101" s="28"/>
      <c r="V101" s="28"/>
      <c r="W101" s="28"/>
      <c r="X101" s="28"/>
      <c r="Y101" s="28"/>
      <c r="Z101" s="28"/>
    </row>
    <row r="102" ht="15.75" customHeight="1">
      <c r="A102" s="36"/>
      <c r="C102" s="28"/>
      <c r="D102" s="28"/>
      <c r="E102" s="28" t="str">
        <f>ResultadosObtidos!B99</f>
        <v/>
      </c>
      <c r="F102" s="28" t="str">
        <f>IFERROR(IF(DesvioPercentual!C99&lt;&gt;"",SUBSTITUTE(TEXT(DesvioPercentual!C99,$F$2),".",","),""),"")</f>
        <v/>
      </c>
      <c r="G102" s="28" t="str">
        <f>IFERROR(IF(DesvioPercentual!D99&lt;&gt;"",SUBSTITUTE(TEXT(DesvioPercentual!D99,$F$3),".",","),""),"")</f>
        <v/>
      </c>
      <c r="H102" s="28" t="str">
        <f>IFERROR(IF(DesvioPercentual!E99&lt;&gt;"",SUBSTITUTE(TEXT(DesvioPercentual!E99,$F$3),".",","),""),"")</f>
        <v/>
      </c>
      <c r="I102" s="28" t="str">
        <f>IFERROR(IF(DesvioPercentual!F99&lt;&gt;"",SUBSTITUTE(TEXT(DesvioPercentual!F99,$F$3),".",","),""),"")</f>
        <v/>
      </c>
      <c r="J102" s="28" t="str">
        <f>IFERROR(IF(DesvioPercentual!G99&lt;&gt;"",SUBSTITUTE(TEXT(DesvioPercentual!G99,$F$3),".",","),""),"")</f>
        <v/>
      </c>
      <c r="K102" s="28" t="str">
        <f>IFERROR(IF(DesvioPercentual!H99&lt;&gt;"",SUBSTITUTE(TEXT(DesvioPercentual!H99,$F$3),".",","),""),"")</f>
        <v/>
      </c>
      <c r="L102" s="28" t="str">
        <f>IFERROR(IF(DesvioPercentual!I99&lt;&gt;"",SUBSTITUTE(TEXT(DesvioPercentual!I99,$F$3),".",","),""),"")</f>
        <v/>
      </c>
      <c r="M102" s="28"/>
      <c r="N102" s="28" t="str">
        <f t="shared" si="3"/>
        <v> &amp; </v>
      </c>
      <c r="O102" s="28" t="str">
        <f>IF(G102="","",CONCATENATE(IF(ResultadosObtidos!D99=ResultadosObtidos!$C99,"\textbf{",""),G102," \% ",IF(ResultadosObtidos!D99=ResultadosObtidos!$C99,"} &amp; "," &amp; ")))</f>
        <v/>
      </c>
      <c r="P102" s="28" t="str">
        <f>IF(H102="","",CONCATENATE(IF(ResultadosObtidos!E99=ResultadosObtidos!$C99,"\textbf{",""),H102," \% ",IF(ResultadosObtidos!E99=ResultadosObtidos!$C99,"} &amp; "," &amp; ")))</f>
        <v/>
      </c>
      <c r="Q102" s="28" t="str">
        <f>IF(I102="","",CONCATENATE(IF(ResultadosObtidos!F99=ResultadosObtidos!$C99,"\textbf{",""),I102," \% ",IF(ResultadosObtidos!F99=ResultadosObtidos!$C99,"} &amp; "," &amp; ")))</f>
        <v/>
      </c>
      <c r="R102" s="28" t="str">
        <f>IF(J102="","",CONCATENATE(IF(ResultadosObtidos!G99=ResultadosObtidos!$C99,"\textbf{",""),J102," \% ",IF(ResultadosObtidos!G99=ResultadosObtidos!$C99,"} &amp; "," &amp; ")))</f>
        <v/>
      </c>
      <c r="S102" s="28" t="str">
        <f>IF(K102="","",CONCATENATE(IF(ResultadosObtidos!H99=ResultadosObtidos!$C99,"\textbf{",""),K102," \% ",IF(ResultadosObtidos!H99=ResultadosObtidos!$C99,"} &amp; "," &amp; ")))</f>
        <v/>
      </c>
      <c r="T102" s="28" t="str">
        <f>IF(L102="","",CONCATENATE(IF(ResultadosObtidos!I99=ResultadosObtidos!$C99,"\textbf{",""),L102," \% ",IF(ResultadosObtidos!I99=ResultadosObtidos!$C99,"} \\ "," \\ ")))</f>
        <v/>
      </c>
      <c r="U102" s="28"/>
      <c r="V102" s="28"/>
      <c r="W102" s="28"/>
      <c r="X102" s="28"/>
      <c r="Y102" s="28"/>
      <c r="Z102" s="28"/>
    </row>
    <row r="103" ht="15.75" customHeight="1">
      <c r="A103" s="36"/>
      <c r="C103" s="28"/>
      <c r="D103" s="28"/>
      <c r="E103" s="28" t="str">
        <f>ResultadosObtidos!B100</f>
        <v/>
      </c>
      <c r="F103" s="28" t="str">
        <f>IFERROR(IF(DesvioPercentual!C100&lt;&gt;"",SUBSTITUTE(TEXT(DesvioPercentual!C100,$F$2),".",","),""),"")</f>
        <v/>
      </c>
      <c r="G103" s="28" t="str">
        <f>IFERROR(IF(DesvioPercentual!D100&lt;&gt;"",SUBSTITUTE(TEXT(DesvioPercentual!D100,$F$3),".",","),""),"")</f>
        <v/>
      </c>
      <c r="H103" s="28" t="str">
        <f>IFERROR(IF(DesvioPercentual!E100&lt;&gt;"",SUBSTITUTE(TEXT(DesvioPercentual!E100,$F$3),".",","),""),"")</f>
        <v/>
      </c>
      <c r="I103" s="28" t="str">
        <f>IFERROR(IF(DesvioPercentual!F100&lt;&gt;"",SUBSTITUTE(TEXT(DesvioPercentual!F100,$F$3),".",","),""),"")</f>
        <v/>
      </c>
      <c r="J103" s="28" t="str">
        <f>IFERROR(IF(DesvioPercentual!G100&lt;&gt;"",SUBSTITUTE(TEXT(DesvioPercentual!G100,$F$3),".",","),""),"")</f>
        <v/>
      </c>
      <c r="K103" s="28" t="str">
        <f>IFERROR(IF(DesvioPercentual!H100&lt;&gt;"",SUBSTITUTE(TEXT(DesvioPercentual!H100,$F$3),".",","),""),"")</f>
        <v/>
      </c>
      <c r="L103" s="28" t="str">
        <f>IFERROR(IF(DesvioPercentual!I100&lt;&gt;"",SUBSTITUTE(TEXT(DesvioPercentual!I100,$F$3),".",","),""),"")</f>
        <v/>
      </c>
      <c r="M103" s="28"/>
      <c r="N103" s="28" t="str">
        <f t="shared" si="3"/>
        <v> &amp; </v>
      </c>
      <c r="O103" s="28" t="str">
        <f>IF(G103="","",CONCATENATE(IF(ResultadosObtidos!D100=ResultadosObtidos!$C100,"\textbf{",""),G103," \% ",IF(ResultadosObtidos!D100=ResultadosObtidos!$C100,"} &amp; "," &amp; ")))</f>
        <v/>
      </c>
      <c r="P103" s="28" t="str">
        <f>IF(H103="","",CONCATENATE(IF(ResultadosObtidos!E100=ResultadosObtidos!$C100,"\textbf{",""),H103," \% ",IF(ResultadosObtidos!E100=ResultadosObtidos!$C100,"} &amp; "," &amp; ")))</f>
        <v/>
      </c>
      <c r="Q103" s="28" t="str">
        <f>IF(I103="","",CONCATENATE(IF(ResultadosObtidos!F100=ResultadosObtidos!$C100,"\textbf{",""),I103," \% ",IF(ResultadosObtidos!F100=ResultadosObtidos!$C100,"} &amp; "," &amp; ")))</f>
        <v/>
      </c>
      <c r="R103" s="28" t="str">
        <f>IF(J103="","",CONCATENATE(IF(ResultadosObtidos!G100=ResultadosObtidos!$C100,"\textbf{",""),J103," \% ",IF(ResultadosObtidos!G100=ResultadosObtidos!$C100,"} &amp; "," &amp; ")))</f>
        <v/>
      </c>
      <c r="S103" s="28" t="str">
        <f>IF(K103="","",CONCATENATE(IF(ResultadosObtidos!H100=ResultadosObtidos!$C100,"\textbf{",""),K103," \% ",IF(ResultadosObtidos!H100=ResultadosObtidos!$C100,"} &amp; "," &amp; ")))</f>
        <v/>
      </c>
      <c r="T103" s="28" t="str">
        <f>IF(L103="","",CONCATENATE(IF(ResultadosObtidos!I100=ResultadosObtidos!$C100,"\textbf{",""),L103," \% ",IF(ResultadosObtidos!I100=ResultadosObtidos!$C100,"} \\ "," \\ ")))</f>
        <v/>
      </c>
      <c r="U103" s="28"/>
      <c r="V103" s="28"/>
      <c r="W103" s="28"/>
      <c r="X103" s="28"/>
      <c r="Y103" s="28"/>
      <c r="Z103" s="28"/>
    </row>
    <row r="104" ht="15.75" customHeight="1">
      <c r="A104" s="36"/>
      <c r="C104" s="28"/>
      <c r="D104" s="28"/>
      <c r="E104" s="28" t="str">
        <f>ResultadosObtidos!B101</f>
        <v/>
      </c>
      <c r="F104" s="28" t="str">
        <f>IFERROR(IF(DesvioPercentual!C101&lt;&gt;"",SUBSTITUTE(TEXT(DesvioPercentual!C101,$F$2),".",","),""),"")</f>
        <v/>
      </c>
      <c r="G104" s="28" t="str">
        <f>IFERROR(IF(DesvioPercentual!D101&lt;&gt;"",SUBSTITUTE(TEXT(DesvioPercentual!D101,$F$3),".",","),""),"")</f>
        <v/>
      </c>
      <c r="H104" s="28" t="str">
        <f>IFERROR(IF(DesvioPercentual!E101&lt;&gt;"",SUBSTITUTE(TEXT(DesvioPercentual!E101,$F$3),".",","),""),"")</f>
        <v/>
      </c>
      <c r="I104" s="28" t="str">
        <f>IFERROR(IF(DesvioPercentual!F101&lt;&gt;"",SUBSTITUTE(TEXT(DesvioPercentual!F101,$F$3),".",","),""),"")</f>
        <v/>
      </c>
      <c r="J104" s="28" t="str">
        <f>IFERROR(IF(DesvioPercentual!G101&lt;&gt;"",SUBSTITUTE(TEXT(DesvioPercentual!G101,$F$3),".",","),""),"")</f>
        <v/>
      </c>
      <c r="K104" s="28" t="str">
        <f>IFERROR(IF(DesvioPercentual!H101&lt;&gt;"",SUBSTITUTE(TEXT(DesvioPercentual!H101,$F$3),".",","),""),"")</f>
        <v/>
      </c>
      <c r="L104" s="28" t="str">
        <f>IFERROR(IF(DesvioPercentual!I101&lt;&gt;"",SUBSTITUTE(TEXT(DesvioPercentual!I101,$F$3),".",","),""),"")</f>
        <v/>
      </c>
      <c r="M104" s="28"/>
      <c r="N104" s="28" t="str">
        <f t="shared" si="3"/>
        <v> &amp; </v>
      </c>
      <c r="O104" s="28" t="str">
        <f>IF(G104="","",CONCATENATE(IF(ResultadosObtidos!D101=ResultadosObtidos!$C101,"\textbf{",""),G104," \% ",IF(ResultadosObtidos!D101=ResultadosObtidos!$C101,"} &amp; "," &amp; ")))</f>
        <v/>
      </c>
      <c r="P104" s="28" t="str">
        <f>IF(H104="","",CONCATENATE(IF(ResultadosObtidos!E101=ResultadosObtidos!$C101,"\textbf{",""),H104," \% ",IF(ResultadosObtidos!E101=ResultadosObtidos!$C101,"} &amp; "," &amp; ")))</f>
        <v/>
      </c>
      <c r="Q104" s="28" t="str">
        <f>IF(I104="","",CONCATENATE(IF(ResultadosObtidos!F101=ResultadosObtidos!$C101,"\textbf{",""),I104," \% ",IF(ResultadosObtidos!F101=ResultadosObtidos!$C101,"} &amp; "," &amp; ")))</f>
        <v/>
      </c>
      <c r="R104" s="28" t="str">
        <f>IF(J104="","",CONCATENATE(IF(ResultadosObtidos!G101=ResultadosObtidos!$C101,"\textbf{",""),J104," \% ",IF(ResultadosObtidos!G101=ResultadosObtidos!$C101,"} &amp; "," &amp; ")))</f>
        <v/>
      </c>
      <c r="S104" s="28" t="str">
        <f>IF(K104="","",CONCATENATE(IF(ResultadosObtidos!H101=ResultadosObtidos!$C101,"\textbf{",""),K104," \% ",IF(ResultadosObtidos!H101=ResultadosObtidos!$C101,"} &amp; "," &amp; ")))</f>
        <v/>
      </c>
      <c r="T104" s="28" t="str">
        <f>IF(L104="","",CONCATENATE(IF(ResultadosObtidos!I101=ResultadosObtidos!$C101,"\textbf{",""),L104," \% ",IF(ResultadosObtidos!I101=ResultadosObtidos!$C101,"} \\ "," \\ ")))</f>
        <v/>
      </c>
      <c r="U104" s="28"/>
      <c r="V104" s="28"/>
      <c r="W104" s="28"/>
      <c r="X104" s="28"/>
      <c r="Y104" s="28"/>
      <c r="Z104" s="28"/>
    </row>
    <row r="105" ht="15.75" customHeight="1">
      <c r="A105" s="36"/>
      <c r="C105" s="28"/>
      <c r="D105" s="28"/>
      <c r="E105" s="28" t="str">
        <f>ResultadosObtidos!B102</f>
        <v/>
      </c>
      <c r="F105" s="28" t="str">
        <f>IFERROR(IF(DesvioPercentual!C102&lt;&gt;"",SUBSTITUTE(TEXT(DesvioPercentual!C102,$F$2),".",","),""),"")</f>
        <v/>
      </c>
      <c r="G105" s="28" t="str">
        <f>IFERROR(IF(DesvioPercentual!D102&lt;&gt;"",SUBSTITUTE(TEXT(DesvioPercentual!D102,$F$3),".",","),""),"")</f>
        <v/>
      </c>
      <c r="H105" s="28" t="str">
        <f>IFERROR(IF(DesvioPercentual!E102&lt;&gt;"",SUBSTITUTE(TEXT(DesvioPercentual!E102,$F$3),".",","),""),"")</f>
        <v/>
      </c>
      <c r="I105" s="28" t="str">
        <f>IFERROR(IF(DesvioPercentual!F102&lt;&gt;"",SUBSTITUTE(TEXT(DesvioPercentual!F102,$F$3),".",","),""),"")</f>
        <v/>
      </c>
      <c r="J105" s="28" t="str">
        <f>IFERROR(IF(DesvioPercentual!G102&lt;&gt;"",SUBSTITUTE(TEXT(DesvioPercentual!G102,$F$3),".",","),""),"")</f>
        <v/>
      </c>
      <c r="K105" s="28" t="str">
        <f>IFERROR(IF(DesvioPercentual!H102&lt;&gt;"",SUBSTITUTE(TEXT(DesvioPercentual!H102,$F$3),".",","),""),"")</f>
        <v/>
      </c>
      <c r="L105" s="28" t="str">
        <f>IFERROR(IF(DesvioPercentual!I102&lt;&gt;"",SUBSTITUTE(TEXT(DesvioPercentual!I102,$F$3),".",","),""),"")</f>
        <v/>
      </c>
      <c r="M105" s="28"/>
      <c r="N105" s="28" t="str">
        <f t="shared" si="3"/>
        <v> &amp; </v>
      </c>
      <c r="O105" s="28" t="str">
        <f>IF(G105="","",CONCATENATE(IF(ResultadosObtidos!D102=ResultadosObtidos!$C102,"\textbf{",""),G105," \% ",IF(ResultadosObtidos!D102=ResultadosObtidos!$C102,"} &amp; "," &amp; ")))</f>
        <v/>
      </c>
      <c r="P105" s="28" t="str">
        <f>IF(H105="","",CONCATENATE(IF(ResultadosObtidos!E102=ResultadosObtidos!$C102,"\textbf{",""),H105," \% ",IF(ResultadosObtidos!E102=ResultadosObtidos!$C102,"} &amp; "," &amp; ")))</f>
        <v/>
      </c>
      <c r="Q105" s="28" t="str">
        <f>IF(I105="","",CONCATENATE(IF(ResultadosObtidos!F102=ResultadosObtidos!$C102,"\textbf{",""),I105," \% ",IF(ResultadosObtidos!F102=ResultadosObtidos!$C102,"} &amp; "," &amp; ")))</f>
        <v/>
      </c>
      <c r="R105" s="28" t="str">
        <f>IF(J105="","",CONCATENATE(IF(ResultadosObtidos!G102=ResultadosObtidos!$C102,"\textbf{",""),J105," \% ",IF(ResultadosObtidos!G102=ResultadosObtidos!$C102,"} &amp; "," &amp; ")))</f>
        <v/>
      </c>
      <c r="S105" s="28" t="str">
        <f>IF(K105="","",CONCATENATE(IF(ResultadosObtidos!H102=ResultadosObtidos!$C102,"\textbf{",""),K105," \% ",IF(ResultadosObtidos!H102=ResultadosObtidos!$C102,"} &amp; "," &amp; ")))</f>
        <v/>
      </c>
      <c r="T105" s="28" t="str">
        <f>IF(L105="","",CONCATENATE(IF(ResultadosObtidos!I102=ResultadosObtidos!$C102,"\textbf{",""),L105," \% ",IF(ResultadosObtidos!I102=ResultadosObtidos!$C102,"} \\ "," \\ ")))</f>
        <v/>
      </c>
      <c r="U105" s="28"/>
      <c r="V105" s="28"/>
      <c r="W105" s="28"/>
      <c r="X105" s="28"/>
      <c r="Y105" s="28"/>
      <c r="Z105" s="28"/>
    </row>
    <row r="106" ht="15.75" customHeight="1">
      <c r="A106" s="36"/>
      <c r="C106" s="28"/>
      <c r="D106" s="28"/>
      <c r="E106" s="28" t="str">
        <f>ResultadosObtidos!B103</f>
        <v/>
      </c>
      <c r="F106" s="28" t="str">
        <f>IFERROR(IF(DesvioPercentual!C103&lt;&gt;"",SUBSTITUTE(TEXT(DesvioPercentual!C103,$F$2),".",","),""),"")</f>
        <v/>
      </c>
      <c r="G106" s="28" t="str">
        <f>IFERROR(IF(DesvioPercentual!D103&lt;&gt;"",SUBSTITUTE(TEXT(DesvioPercentual!D103,$F$3),".",","),""),"")</f>
        <v/>
      </c>
      <c r="H106" s="28" t="str">
        <f>IFERROR(IF(DesvioPercentual!E103&lt;&gt;"",SUBSTITUTE(TEXT(DesvioPercentual!E103,$F$3),".",","),""),"")</f>
        <v/>
      </c>
      <c r="I106" s="28" t="str">
        <f>IFERROR(IF(DesvioPercentual!F103&lt;&gt;"",SUBSTITUTE(TEXT(DesvioPercentual!F103,$F$3),".",","),""),"")</f>
        <v/>
      </c>
      <c r="J106" s="28" t="str">
        <f>IFERROR(IF(DesvioPercentual!G103&lt;&gt;"",SUBSTITUTE(TEXT(DesvioPercentual!G103,$F$3),".",","),""),"")</f>
        <v/>
      </c>
      <c r="K106" s="28" t="str">
        <f>IFERROR(IF(DesvioPercentual!H103&lt;&gt;"",SUBSTITUTE(TEXT(DesvioPercentual!H103,$F$3),".",","),""),"")</f>
        <v/>
      </c>
      <c r="L106" s="28" t="str">
        <f>IFERROR(IF(DesvioPercentual!I103&lt;&gt;"",SUBSTITUTE(TEXT(DesvioPercentual!I103,$F$3),".",","),""),"")</f>
        <v/>
      </c>
      <c r="M106" s="28"/>
      <c r="N106" s="28" t="str">
        <f t="shared" si="3"/>
        <v> &amp; </v>
      </c>
      <c r="O106" s="28" t="str">
        <f>IF(G106="","",CONCATENATE(IF(ResultadosObtidos!D103=ResultadosObtidos!$C103,"\textbf{",""),G106," \% ",IF(ResultadosObtidos!D103=ResultadosObtidos!$C103,"} &amp; "," &amp; ")))</f>
        <v/>
      </c>
      <c r="P106" s="28" t="str">
        <f>IF(H106="","",CONCATENATE(IF(ResultadosObtidos!E103=ResultadosObtidos!$C103,"\textbf{",""),H106," \% ",IF(ResultadosObtidos!E103=ResultadosObtidos!$C103,"} &amp; "," &amp; ")))</f>
        <v/>
      </c>
      <c r="Q106" s="28" t="str">
        <f>IF(I106="","",CONCATENATE(IF(ResultadosObtidos!F103=ResultadosObtidos!$C103,"\textbf{",""),I106," \% ",IF(ResultadosObtidos!F103=ResultadosObtidos!$C103,"} &amp; "," &amp; ")))</f>
        <v/>
      </c>
      <c r="R106" s="28" t="str">
        <f>IF(J106="","",CONCATENATE(IF(ResultadosObtidos!G103=ResultadosObtidos!$C103,"\textbf{",""),J106," \% ",IF(ResultadosObtidos!G103=ResultadosObtidos!$C103,"} &amp; "," &amp; ")))</f>
        <v/>
      </c>
      <c r="S106" s="28" t="str">
        <f>IF(K106="","",CONCATENATE(IF(ResultadosObtidos!H103=ResultadosObtidos!$C103,"\textbf{",""),K106," \% ",IF(ResultadosObtidos!H103=ResultadosObtidos!$C103,"} &amp; "," &amp; ")))</f>
        <v/>
      </c>
      <c r="T106" s="28" t="str">
        <f>IF(L106="","",CONCATENATE(IF(ResultadosObtidos!I103=ResultadosObtidos!$C103,"\textbf{",""),L106," \% ",IF(ResultadosObtidos!I103=ResultadosObtidos!$C103,"} \\ "," \\ ")))</f>
        <v/>
      </c>
      <c r="U106" s="28"/>
      <c r="V106" s="28"/>
      <c r="W106" s="28"/>
      <c r="X106" s="28"/>
      <c r="Y106" s="28"/>
      <c r="Z106" s="28"/>
    </row>
    <row r="107" ht="15.75" customHeight="1">
      <c r="A107" s="36"/>
      <c r="C107" s="28"/>
      <c r="D107" s="28"/>
      <c r="E107" s="28" t="str">
        <f>ResultadosObtidos!B104</f>
        <v/>
      </c>
      <c r="F107" s="28" t="str">
        <f>IFERROR(IF(DesvioPercentual!C104&lt;&gt;"",SUBSTITUTE(TEXT(DesvioPercentual!C104,$F$2),".",","),""),"")</f>
        <v/>
      </c>
      <c r="G107" s="28" t="str">
        <f>IFERROR(IF(DesvioPercentual!D104&lt;&gt;"",SUBSTITUTE(TEXT(DesvioPercentual!D104,$F$3),".",","),""),"")</f>
        <v/>
      </c>
      <c r="H107" s="28" t="str">
        <f>IFERROR(IF(DesvioPercentual!E104&lt;&gt;"",SUBSTITUTE(TEXT(DesvioPercentual!E104,$F$3),".",","),""),"")</f>
        <v/>
      </c>
      <c r="I107" s="28" t="str">
        <f>IFERROR(IF(DesvioPercentual!F104&lt;&gt;"",SUBSTITUTE(TEXT(DesvioPercentual!F104,$F$3),".",","),""),"")</f>
        <v/>
      </c>
      <c r="J107" s="28" t="str">
        <f>IFERROR(IF(DesvioPercentual!G104&lt;&gt;"",SUBSTITUTE(TEXT(DesvioPercentual!G104,$F$3),".",","),""),"")</f>
        <v/>
      </c>
      <c r="K107" s="28" t="str">
        <f>IFERROR(IF(DesvioPercentual!H104&lt;&gt;"",SUBSTITUTE(TEXT(DesvioPercentual!H104,$F$3),".",","),""),"")</f>
        <v/>
      </c>
      <c r="L107" s="28" t="str">
        <f>IFERROR(IF(DesvioPercentual!I104&lt;&gt;"",SUBSTITUTE(TEXT(DesvioPercentual!I104,$F$3),".",","),""),"")</f>
        <v/>
      </c>
      <c r="M107" s="28"/>
      <c r="N107" s="28" t="str">
        <f t="shared" si="3"/>
        <v> &amp; </v>
      </c>
      <c r="O107" s="28" t="str">
        <f>IF(G107="","",CONCATENATE(IF(ResultadosObtidos!D104=ResultadosObtidos!$C104,"\textbf{",""),G107," \% ",IF(ResultadosObtidos!D104=ResultadosObtidos!$C104,"} &amp; "," &amp; ")))</f>
        <v/>
      </c>
      <c r="P107" s="28" t="str">
        <f>IF(H107="","",CONCATENATE(IF(ResultadosObtidos!E104=ResultadosObtidos!$C104,"\textbf{",""),H107," \% ",IF(ResultadosObtidos!E104=ResultadosObtidos!$C104,"} &amp; "," &amp; ")))</f>
        <v/>
      </c>
      <c r="Q107" s="28" t="str">
        <f>IF(I107="","",CONCATENATE(IF(ResultadosObtidos!F104=ResultadosObtidos!$C104,"\textbf{",""),I107," \% ",IF(ResultadosObtidos!F104=ResultadosObtidos!$C104,"} &amp; "," &amp; ")))</f>
        <v/>
      </c>
      <c r="R107" s="28" t="str">
        <f>IF(J107="","",CONCATENATE(IF(ResultadosObtidos!G104=ResultadosObtidos!$C104,"\textbf{",""),J107," \% ",IF(ResultadosObtidos!G104=ResultadosObtidos!$C104,"} &amp; "," &amp; ")))</f>
        <v/>
      </c>
      <c r="S107" s="28" t="str">
        <f>IF(K107="","",CONCATENATE(IF(ResultadosObtidos!H104=ResultadosObtidos!$C104,"\textbf{",""),K107," \% ",IF(ResultadosObtidos!H104=ResultadosObtidos!$C104,"} &amp; "," &amp; ")))</f>
        <v/>
      </c>
      <c r="T107" s="28" t="str">
        <f>IF(L107="","",CONCATENATE(IF(ResultadosObtidos!I104=ResultadosObtidos!$C104,"\textbf{",""),L107," \% ",IF(ResultadosObtidos!I104=ResultadosObtidos!$C104,"} \\ "," \\ ")))</f>
        <v/>
      </c>
      <c r="U107" s="28"/>
      <c r="V107" s="28"/>
      <c r="W107" s="28"/>
      <c r="X107" s="28"/>
      <c r="Y107" s="28"/>
      <c r="Z107" s="28"/>
    </row>
    <row r="108" ht="15.75" customHeight="1">
      <c r="A108" s="36"/>
      <c r="C108" s="28"/>
      <c r="D108" s="28"/>
      <c r="E108" s="28" t="str">
        <f>ResultadosObtidos!B105</f>
        <v/>
      </c>
      <c r="F108" s="28" t="str">
        <f>IFERROR(IF(DesvioPercentual!C105&lt;&gt;"",SUBSTITUTE(TEXT(DesvioPercentual!C105,$F$2),".",","),""),"")</f>
        <v/>
      </c>
      <c r="G108" s="28" t="str">
        <f>IFERROR(IF(DesvioPercentual!D105&lt;&gt;"",SUBSTITUTE(TEXT(DesvioPercentual!D105,$F$3),".",","),""),"")</f>
        <v/>
      </c>
      <c r="H108" s="28" t="str">
        <f>IFERROR(IF(DesvioPercentual!E105&lt;&gt;"",SUBSTITUTE(TEXT(DesvioPercentual!E105,$F$3),".",","),""),"")</f>
        <v/>
      </c>
      <c r="I108" s="28" t="str">
        <f>IFERROR(IF(DesvioPercentual!F105&lt;&gt;"",SUBSTITUTE(TEXT(DesvioPercentual!F105,$F$3),".",","),""),"")</f>
        <v/>
      </c>
      <c r="J108" s="28" t="str">
        <f>IFERROR(IF(DesvioPercentual!G105&lt;&gt;"",SUBSTITUTE(TEXT(DesvioPercentual!G105,$F$3),".",","),""),"")</f>
        <v/>
      </c>
      <c r="K108" s="28" t="str">
        <f>IFERROR(IF(DesvioPercentual!H105&lt;&gt;"",SUBSTITUTE(TEXT(DesvioPercentual!H105,$F$3),".",","),""),"")</f>
        <v/>
      </c>
      <c r="L108" s="28" t="str">
        <f>IFERROR(IF(DesvioPercentual!I105&lt;&gt;"",SUBSTITUTE(TEXT(DesvioPercentual!I105,$F$3),".",","),""),"")</f>
        <v/>
      </c>
      <c r="M108" s="28"/>
      <c r="N108" s="28" t="str">
        <f t="shared" si="3"/>
        <v> &amp; </v>
      </c>
      <c r="O108" s="28" t="str">
        <f>IF(G108="","",CONCATENATE(IF(ResultadosObtidos!D105=ResultadosObtidos!$C105,"\textbf{",""),G108," \% ",IF(ResultadosObtidos!D105=ResultadosObtidos!$C105,"} &amp; "," &amp; ")))</f>
        <v/>
      </c>
      <c r="P108" s="28" t="str">
        <f>IF(H108="","",CONCATENATE(IF(ResultadosObtidos!E105=ResultadosObtidos!$C105,"\textbf{",""),H108," \% ",IF(ResultadosObtidos!E105=ResultadosObtidos!$C105,"} &amp; "," &amp; ")))</f>
        <v/>
      </c>
      <c r="Q108" s="28" t="str">
        <f>IF(I108="","",CONCATENATE(IF(ResultadosObtidos!F105=ResultadosObtidos!$C105,"\textbf{",""),I108," \% ",IF(ResultadosObtidos!F105=ResultadosObtidos!$C105,"} &amp; "," &amp; ")))</f>
        <v/>
      </c>
      <c r="R108" s="28" t="str">
        <f>IF(J108="","",CONCATENATE(IF(ResultadosObtidos!G105=ResultadosObtidos!$C105,"\textbf{",""),J108," \% ",IF(ResultadosObtidos!G105=ResultadosObtidos!$C105,"} &amp; "," &amp; ")))</f>
        <v/>
      </c>
      <c r="S108" s="28" t="str">
        <f>IF(K108="","",CONCATENATE(IF(ResultadosObtidos!H105=ResultadosObtidos!$C105,"\textbf{",""),K108," \% ",IF(ResultadosObtidos!H105=ResultadosObtidos!$C105,"} &amp; "," &amp; ")))</f>
        <v/>
      </c>
      <c r="T108" s="28" t="str">
        <f>IF(L108="","",CONCATENATE(IF(ResultadosObtidos!I105=ResultadosObtidos!$C105,"\textbf{",""),L108," \% ",IF(ResultadosObtidos!I105=ResultadosObtidos!$C105,"} \\ "," \\ ")))</f>
        <v/>
      </c>
      <c r="U108" s="28"/>
      <c r="V108" s="28"/>
      <c r="W108" s="28"/>
      <c r="X108" s="28"/>
      <c r="Y108" s="28"/>
      <c r="Z108" s="28"/>
    </row>
    <row r="109" ht="15.75" customHeight="1">
      <c r="A109" s="36"/>
      <c r="C109" s="28"/>
      <c r="D109" s="28"/>
      <c r="E109" s="28" t="str">
        <f>ResultadosObtidos!B106</f>
        <v/>
      </c>
      <c r="F109" s="28" t="str">
        <f>IFERROR(IF(DesvioPercentual!C106&lt;&gt;"",SUBSTITUTE(TEXT(DesvioPercentual!C106,$F$2),".",","),""),"")</f>
        <v/>
      </c>
      <c r="G109" s="28" t="str">
        <f>IFERROR(IF(DesvioPercentual!D106&lt;&gt;"",SUBSTITUTE(TEXT(DesvioPercentual!D106,$F$3),".",","),""),"")</f>
        <v/>
      </c>
      <c r="H109" s="28" t="str">
        <f>IFERROR(IF(DesvioPercentual!E106&lt;&gt;"",SUBSTITUTE(TEXT(DesvioPercentual!E106,$F$3),".",","),""),"")</f>
        <v/>
      </c>
      <c r="I109" s="28" t="str">
        <f>IFERROR(IF(DesvioPercentual!F106&lt;&gt;"",SUBSTITUTE(TEXT(DesvioPercentual!F106,$F$3),".",","),""),"")</f>
        <v/>
      </c>
      <c r="J109" s="28" t="str">
        <f>IFERROR(IF(DesvioPercentual!G106&lt;&gt;"",SUBSTITUTE(TEXT(DesvioPercentual!G106,$F$3),".",","),""),"")</f>
        <v/>
      </c>
      <c r="K109" s="28" t="str">
        <f>IFERROR(IF(DesvioPercentual!H106&lt;&gt;"",SUBSTITUTE(TEXT(DesvioPercentual!H106,$F$3),".",","),""),"")</f>
        <v/>
      </c>
      <c r="L109" s="28" t="str">
        <f>IFERROR(IF(DesvioPercentual!I106&lt;&gt;"",SUBSTITUTE(TEXT(DesvioPercentual!I106,$F$3),".",","),""),"")</f>
        <v/>
      </c>
      <c r="M109" s="28"/>
      <c r="N109" s="28" t="str">
        <f t="shared" si="3"/>
        <v> &amp; </v>
      </c>
      <c r="O109" s="28" t="str">
        <f>IF(G109="","",CONCATENATE(IF(ResultadosObtidos!D106=ResultadosObtidos!$C106,"\textbf{",""),G109," \% ",IF(ResultadosObtidos!D106=ResultadosObtidos!$C106,"} &amp; "," &amp; ")))</f>
        <v/>
      </c>
      <c r="P109" s="28" t="str">
        <f>IF(H109="","",CONCATENATE(IF(ResultadosObtidos!E106=ResultadosObtidos!$C106,"\textbf{",""),H109," \% ",IF(ResultadosObtidos!E106=ResultadosObtidos!$C106,"} &amp; "," &amp; ")))</f>
        <v/>
      </c>
      <c r="Q109" s="28" t="str">
        <f>IF(I109="","",CONCATENATE(IF(ResultadosObtidos!F106=ResultadosObtidos!$C106,"\textbf{",""),I109," \% ",IF(ResultadosObtidos!F106=ResultadosObtidos!$C106,"} &amp; "," &amp; ")))</f>
        <v/>
      </c>
      <c r="R109" s="28" t="str">
        <f>IF(J109="","",CONCATENATE(IF(ResultadosObtidos!G106=ResultadosObtidos!$C106,"\textbf{",""),J109," \% ",IF(ResultadosObtidos!G106=ResultadosObtidos!$C106,"} &amp; "," &amp; ")))</f>
        <v/>
      </c>
      <c r="S109" s="28" t="str">
        <f>IF(K109="","",CONCATENATE(IF(ResultadosObtidos!H106=ResultadosObtidos!$C106,"\textbf{",""),K109," \% ",IF(ResultadosObtidos!H106=ResultadosObtidos!$C106,"} &amp; "," &amp; ")))</f>
        <v/>
      </c>
      <c r="T109" s="28" t="str">
        <f>IF(L109="","",CONCATENATE(IF(ResultadosObtidos!I106=ResultadosObtidos!$C106,"\textbf{",""),L109," \% ",IF(ResultadosObtidos!I106=ResultadosObtidos!$C106,"} \\ "," \\ ")))</f>
        <v/>
      </c>
      <c r="U109" s="28"/>
      <c r="V109" s="28"/>
      <c r="W109" s="28"/>
      <c r="X109" s="28"/>
      <c r="Y109" s="28"/>
      <c r="Z109" s="28"/>
    </row>
    <row r="110" ht="15.75" customHeight="1">
      <c r="A110" s="36"/>
      <c r="C110" s="28"/>
      <c r="D110" s="28"/>
      <c r="E110" s="28" t="str">
        <f>ResultadosObtidos!B107</f>
        <v/>
      </c>
      <c r="F110" s="28" t="str">
        <f>IFERROR(IF(DesvioPercentual!C107&lt;&gt;"",SUBSTITUTE(TEXT(DesvioPercentual!C107,$F$2),".",","),""),"")</f>
        <v/>
      </c>
      <c r="G110" s="28" t="str">
        <f>IFERROR(IF(DesvioPercentual!D107&lt;&gt;"",SUBSTITUTE(TEXT(DesvioPercentual!D107,$F$3),".",","),""),"")</f>
        <v/>
      </c>
      <c r="H110" s="28" t="str">
        <f>IFERROR(IF(DesvioPercentual!E107&lt;&gt;"",SUBSTITUTE(TEXT(DesvioPercentual!E107,$F$3),".",","),""),"")</f>
        <v/>
      </c>
      <c r="I110" s="28" t="str">
        <f>IFERROR(IF(DesvioPercentual!F107&lt;&gt;"",SUBSTITUTE(TEXT(DesvioPercentual!F107,$F$3),".",","),""),"")</f>
        <v/>
      </c>
      <c r="J110" s="28" t="str">
        <f>IFERROR(IF(DesvioPercentual!G107&lt;&gt;"",SUBSTITUTE(TEXT(DesvioPercentual!G107,$F$3),".",","),""),"")</f>
        <v/>
      </c>
      <c r="K110" s="28" t="str">
        <f>IFERROR(IF(DesvioPercentual!H107&lt;&gt;"",SUBSTITUTE(TEXT(DesvioPercentual!H107,$F$3),".",","),""),"")</f>
        <v/>
      </c>
      <c r="L110" s="28" t="str">
        <f>IFERROR(IF(DesvioPercentual!I107&lt;&gt;"",SUBSTITUTE(TEXT(DesvioPercentual!I107,$F$3),".",","),""),"")</f>
        <v/>
      </c>
      <c r="M110" s="28"/>
      <c r="N110" s="28" t="str">
        <f t="shared" si="3"/>
        <v> &amp; </v>
      </c>
      <c r="O110" s="28" t="str">
        <f>IF(G110="","",CONCATENATE(IF(ResultadosObtidos!D107=ResultadosObtidos!$C107,"\textbf{",""),G110," \% ",IF(ResultadosObtidos!D107=ResultadosObtidos!$C107,"} &amp; "," &amp; ")))</f>
        <v/>
      </c>
      <c r="P110" s="28" t="str">
        <f>IF(H110="","",CONCATENATE(IF(ResultadosObtidos!E107=ResultadosObtidos!$C107,"\textbf{",""),H110," \% ",IF(ResultadosObtidos!E107=ResultadosObtidos!$C107,"} &amp; "," &amp; ")))</f>
        <v/>
      </c>
      <c r="Q110" s="28" t="str">
        <f>IF(I110="","",CONCATENATE(IF(ResultadosObtidos!F107=ResultadosObtidos!$C107,"\textbf{",""),I110," \% ",IF(ResultadosObtidos!F107=ResultadosObtidos!$C107,"} &amp; "," &amp; ")))</f>
        <v/>
      </c>
      <c r="R110" s="28" t="str">
        <f>IF(J110="","",CONCATENATE(IF(ResultadosObtidos!G107=ResultadosObtidos!$C107,"\textbf{",""),J110," \% ",IF(ResultadosObtidos!G107=ResultadosObtidos!$C107,"} &amp; "," &amp; ")))</f>
        <v/>
      </c>
      <c r="S110" s="28" t="str">
        <f>IF(K110="","",CONCATENATE(IF(ResultadosObtidos!H107=ResultadosObtidos!$C107,"\textbf{",""),K110," \% ",IF(ResultadosObtidos!H107=ResultadosObtidos!$C107,"} &amp; "," &amp; ")))</f>
        <v/>
      </c>
      <c r="T110" s="28" t="str">
        <f>IF(L110="","",CONCATENATE(IF(ResultadosObtidos!I107=ResultadosObtidos!$C107,"\textbf{",""),L110," \% ",IF(ResultadosObtidos!I107=ResultadosObtidos!$C107,"} \\ "," \\ ")))</f>
        <v/>
      </c>
      <c r="U110" s="28"/>
      <c r="V110" s="28"/>
      <c r="W110" s="28"/>
      <c r="X110" s="28"/>
      <c r="Y110" s="28"/>
      <c r="Z110" s="28"/>
    </row>
    <row r="111" ht="15.75" customHeight="1">
      <c r="A111" s="36"/>
      <c r="C111" s="28"/>
      <c r="D111" s="28"/>
      <c r="E111" s="28" t="str">
        <f>ResultadosObtidos!B108</f>
        <v/>
      </c>
      <c r="F111" s="28" t="str">
        <f>IFERROR(IF(DesvioPercentual!C108&lt;&gt;"",SUBSTITUTE(TEXT(DesvioPercentual!C108,$F$2),".",","),""),"")</f>
        <v/>
      </c>
      <c r="G111" s="28" t="str">
        <f>IFERROR(IF(DesvioPercentual!D108&lt;&gt;"",SUBSTITUTE(TEXT(DesvioPercentual!D108,$F$3),".",","),""),"")</f>
        <v/>
      </c>
      <c r="H111" s="28" t="str">
        <f>IFERROR(IF(DesvioPercentual!E108&lt;&gt;"",SUBSTITUTE(TEXT(DesvioPercentual!E108,$F$3),".",","),""),"")</f>
        <v/>
      </c>
      <c r="I111" s="28" t="str">
        <f>IFERROR(IF(DesvioPercentual!F108&lt;&gt;"",SUBSTITUTE(TEXT(DesvioPercentual!F108,$F$3),".",","),""),"")</f>
        <v/>
      </c>
      <c r="J111" s="28" t="str">
        <f>IFERROR(IF(DesvioPercentual!G108&lt;&gt;"",SUBSTITUTE(TEXT(DesvioPercentual!G108,$F$3),".",","),""),"")</f>
        <v/>
      </c>
      <c r="K111" s="28" t="str">
        <f>IFERROR(IF(DesvioPercentual!H108&lt;&gt;"",SUBSTITUTE(TEXT(DesvioPercentual!H108,$F$3),".",","),""),"")</f>
        <v/>
      </c>
      <c r="L111" s="28" t="str">
        <f>IFERROR(IF(DesvioPercentual!I108&lt;&gt;"",SUBSTITUTE(TEXT(DesvioPercentual!I108,$F$3),".",","),""),"")</f>
        <v/>
      </c>
      <c r="M111" s="28"/>
      <c r="N111" s="28" t="str">
        <f t="shared" si="3"/>
        <v> &amp; </v>
      </c>
      <c r="O111" s="28" t="str">
        <f>IF(G111="","",CONCATENATE(IF(ResultadosObtidos!D108=ResultadosObtidos!$C108,"\textbf{",""),G111," \% ",IF(ResultadosObtidos!D108=ResultadosObtidos!$C108,"} &amp; "," &amp; ")))</f>
        <v/>
      </c>
      <c r="P111" s="28" t="str">
        <f>IF(H111="","",CONCATENATE(IF(ResultadosObtidos!E108=ResultadosObtidos!$C108,"\textbf{",""),H111," \% ",IF(ResultadosObtidos!E108=ResultadosObtidos!$C108,"} &amp; "," &amp; ")))</f>
        <v/>
      </c>
      <c r="Q111" s="28" t="str">
        <f>IF(I111="","",CONCATENATE(IF(ResultadosObtidos!F108=ResultadosObtidos!$C108,"\textbf{",""),I111," \% ",IF(ResultadosObtidos!F108=ResultadosObtidos!$C108,"} &amp; "," &amp; ")))</f>
        <v/>
      </c>
      <c r="R111" s="28" t="str">
        <f>IF(J111="","",CONCATENATE(IF(ResultadosObtidos!G108=ResultadosObtidos!$C108,"\textbf{",""),J111," \% ",IF(ResultadosObtidos!G108=ResultadosObtidos!$C108,"} &amp; "," &amp; ")))</f>
        <v/>
      </c>
      <c r="S111" s="28" t="str">
        <f>IF(K111="","",CONCATENATE(IF(ResultadosObtidos!H108=ResultadosObtidos!$C108,"\textbf{",""),K111," \% ",IF(ResultadosObtidos!H108=ResultadosObtidos!$C108,"} &amp; "," &amp; ")))</f>
        <v/>
      </c>
      <c r="T111" s="28" t="str">
        <f>IF(L111="","",CONCATENATE(IF(ResultadosObtidos!I108=ResultadosObtidos!$C108,"\textbf{",""),L111," \% ",IF(ResultadosObtidos!I108=ResultadosObtidos!$C108,"} \\ "," \\ ")))</f>
        <v/>
      </c>
      <c r="U111" s="28"/>
      <c r="V111" s="28"/>
      <c r="W111" s="28"/>
      <c r="X111" s="28"/>
      <c r="Y111" s="28"/>
      <c r="Z111" s="28"/>
    </row>
    <row r="112" ht="15.75" customHeight="1">
      <c r="A112" s="36"/>
      <c r="C112" s="28"/>
      <c r="D112" s="28"/>
      <c r="E112" s="28" t="str">
        <f>ResultadosObtidos!B109</f>
        <v/>
      </c>
      <c r="F112" s="28" t="str">
        <f>IFERROR(IF(DesvioPercentual!C109&lt;&gt;"",SUBSTITUTE(TEXT(DesvioPercentual!C109,$F$2),".",","),""),"")</f>
        <v/>
      </c>
      <c r="G112" s="28" t="str">
        <f>IFERROR(IF(DesvioPercentual!D109&lt;&gt;"",SUBSTITUTE(TEXT(DesvioPercentual!D109,$F$3),".",","),""),"")</f>
        <v/>
      </c>
      <c r="H112" s="28" t="str">
        <f>IFERROR(IF(DesvioPercentual!E109&lt;&gt;"",SUBSTITUTE(TEXT(DesvioPercentual!E109,$F$3),".",","),""),"")</f>
        <v/>
      </c>
      <c r="I112" s="28" t="str">
        <f>IFERROR(IF(DesvioPercentual!F109&lt;&gt;"",SUBSTITUTE(TEXT(DesvioPercentual!F109,$F$3),".",","),""),"")</f>
        <v/>
      </c>
      <c r="J112" s="28" t="str">
        <f>IFERROR(IF(DesvioPercentual!G109&lt;&gt;"",SUBSTITUTE(TEXT(DesvioPercentual!G109,$F$3),".",","),""),"")</f>
        <v/>
      </c>
      <c r="K112" s="28" t="str">
        <f>IFERROR(IF(DesvioPercentual!H109&lt;&gt;"",SUBSTITUTE(TEXT(DesvioPercentual!H109,$F$3),".",","),""),"")</f>
        <v/>
      </c>
      <c r="L112" s="28" t="str">
        <f>IFERROR(IF(DesvioPercentual!I109&lt;&gt;"",SUBSTITUTE(TEXT(DesvioPercentual!I109,$F$3),".",","),""),"")</f>
        <v/>
      </c>
      <c r="M112" s="28"/>
      <c r="N112" s="28" t="str">
        <f t="shared" si="3"/>
        <v> &amp; </v>
      </c>
      <c r="O112" s="28" t="str">
        <f>IF(G112="","",CONCATENATE(IF(ResultadosObtidos!D109=ResultadosObtidos!$C109,"\textbf{",""),G112," \% ",IF(ResultadosObtidos!D109=ResultadosObtidos!$C109,"} &amp; "," &amp; ")))</f>
        <v/>
      </c>
      <c r="P112" s="28" t="str">
        <f>IF(H112="","",CONCATENATE(IF(ResultadosObtidos!E109=ResultadosObtidos!$C109,"\textbf{",""),H112," \% ",IF(ResultadosObtidos!E109=ResultadosObtidos!$C109,"} &amp; "," &amp; ")))</f>
        <v/>
      </c>
      <c r="Q112" s="28" t="str">
        <f>IF(I112="","",CONCATENATE(IF(ResultadosObtidos!F109=ResultadosObtidos!$C109,"\textbf{",""),I112," \% ",IF(ResultadosObtidos!F109=ResultadosObtidos!$C109,"} &amp; "," &amp; ")))</f>
        <v/>
      </c>
      <c r="R112" s="28" t="str">
        <f>IF(J112="","",CONCATENATE(IF(ResultadosObtidos!G109=ResultadosObtidos!$C109,"\textbf{",""),J112," \% ",IF(ResultadosObtidos!G109=ResultadosObtidos!$C109,"} &amp; "," &amp; ")))</f>
        <v/>
      </c>
      <c r="S112" s="28" t="str">
        <f>IF(K112="","",CONCATENATE(IF(ResultadosObtidos!H109=ResultadosObtidos!$C109,"\textbf{",""),K112," \% ",IF(ResultadosObtidos!H109=ResultadosObtidos!$C109,"} &amp; "," &amp; ")))</f>
        <v/>
      </c>
      <c r="T112" s="28" t="str">
        <f>IF(L112="","",CONCATENATE(IF(ResultadosObtidos!I109=ResultadosObtidos!$C109,"\textbf{",""),L112," \% ",IF(ResultadosObtidos!I109=ResultadosObtidos!$C109,"} \\ "," \\ ")))</f>
        <v/>
      </c>
      <c r="U112" s="28"/>
      <c r="V112" s="28"/>
      <c r="W112" s="28"/>
      <c r="X112" s="28"/>
      <c r="Y112" s="28"/>
      <c r="Z112" s="28"/>
    </row>
    <row r="113" ht="15.75" customHeight="1">
      <c r="A113" s="36"/>
      <c r="C113" s="28"/>
      <c r="D113" s="28"/>
      <c r="E113" s="28" t="str">
        <f>ResultadosObtidos!B110</f>
        <v/>
      </c>
      <c r="F113" s="28" t="str">
        <f>IFERROR(IF(DesvioPercentual!C110&lt;&gt;"",SUBSTITUTE(TEXT(DesvioPercentual!C110,$F$2),".",","),""),"")</f>
        <v/>
      </c>
      <c r="G113" s="28" t="str">
        <f>IFERROR(IF(DesvioPercentual!D110&lt;&gt;"",SUBSTITUTE(TEXT(DesvioPercentual!D110,$F$3),".",","),""),"")</f>
        <v/>
      </c>
      <c r="H113" s="28" t="str">
        <f>IFERROR(IF(DesvioPercentual!E110&lt;&gt;"",SUBSTITUTE(TEXT(DesvioPercentual!E110,$F$3),".",","),""),"")</f>
        <v/>
      </c>
      <c r="I113" s="28" t="str">
        <f>IFERROR(IF(DesvioPercentual!F110&lt;&gt;"",SUBSTITUTE(TEXT(DesvioPercentual!F110,$F$3),".",","),""),"")</f>
        <v/>
      </c>
      <c r="J113" s="28" t="str">
        <f>IFERROR(IF(DesvioPercentual!G110&lt;&gt;"",SUBSTITUTE(TEXT(DesvioPercentual!G110,$F$3),".",","),""),"")</f>
        <v/>
      </c>
      <c r="K113" s="28" t="str">
        <f>IFERROR(IF(DesvioPercentual!H110&lt;&gt;"",SUBSTITUTE(TEXT(DesvioPercentual!H110,$F$3),".",","),""),"")</f>
        <v/>
      </c>
      <c r="L113" s="28" t="str">
        <f>IFERROR(IF(DesvioPercentual!I110&lt;&gt;"",SUBSTITUTE(TEXT(DesvioPercentual!I110,$F$3),".",","),""),"")</f>
        <v/>
      </c>
      <c r="M113" s="28"/>
      <c r="N113" s="28" t="str">
        <f t="shared" si="3"/>
        <v> &amp; </v>
      </c>
      <c r="O113" s="28" t="str">
        <f>IF(G113="","",CONCATENATE(IF(ResultadosObtidos!D110=ResultadosObtidos!$C110,"\textbf{",""),G113," \% ",IF(ResultadosObtidos!D110=ResultadosObtidos!$C110,"} &amp; "," &amp; ")))</f>
        <v/>
      </c>
      <c r="P113" s="28" t="str">
        <f>IF(H113="","",CONCATENATE(IF(ResultadosObtidos!E110=ResultadosObtidos!$C110,"\textbf{",""),H113," \% ",IF(ResultadosObtidos!E110=ResultadosObtidos!$C110,"} &amp; "," &amp; ")))</f>
        <v/>
      </c>
      <c r="Q113" s="28" t="str">
        <f>IF(I113="","",CONCATENATE(IF(ResultadosObtidos!F110=ResultadosObtidos!$C110,"\textbf{",""),I113," \% ",IF(ResultadosObtidos!F110=ResultadosObtidos!$C110,"} &amp; "," &amp; ")))</f>
        <v/>
      </c>
      <c r="R113" s="28" t="str">
        <f>IF(J113="","",CONCATENATE(IF(ResultadosObtidos!G110=ResultadosObtidos!$C110,"\textbf{",""),J113," \% ",IF(ResultadosObtidos!G110=ResultadosObtidos!$C110,"} &amp; "," &amp; ")))</f>
        <v/>
      </c>
      <c r="S113" s="28" t="str">
        <f>IF(K113="","",CONCATENATE(IF(ResultadosObtidos!H110=ResultadosObtidos!$C110,"\textbf{",""),K113," \% ",IF(ResultadosObtidos!H110=ResultadosObtidos!$C110,"} &amp; "," &amp; ")))</f>
        <v/>
      </c>
      <c r="T113" s="28" t="str">
        <f>IF(L113="","",CONCATENATE(IF(ResultadosObtidos!I110=ResultadosObtidos!$C110,"\textbf{",""),L113," \% ",IF(ResultadosObtidos!I110=ResultadosObtidos!$C110,"} \\ "," \\ ")))</f>
        <v/>
      </c>
      <c r="U113" s="28"/>
      <c r="V113" s="28"/>
      <c r="W113" s="28"/>
      <c r="X113" s="28"/>
      <c r="Y113" s="28"/>
      <c r="Z113" s="28"/>
    </row>
    <row r="114" ht="15.75" customHeight="1">
      <c r="A114" s="36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36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6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6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6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6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36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36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36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6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6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36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6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36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36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36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36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36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36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36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36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36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36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6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6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6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36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6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36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6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36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36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6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6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36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6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6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36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36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36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36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36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36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36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36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36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36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36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36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36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36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36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36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36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36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36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36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36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36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36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36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36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36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36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36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36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36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36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36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36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6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36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36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36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36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36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36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36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36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36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36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6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36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36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36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36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36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36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36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36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36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36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36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36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36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36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36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36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36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36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36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36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36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36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36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36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36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36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36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36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36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36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36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36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36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36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36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36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36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36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36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36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36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36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36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36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36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36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36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36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36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36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36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36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36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36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36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36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36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36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36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36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36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36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36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36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36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36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36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36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36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36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36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36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36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36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36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36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36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36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36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36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36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36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36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36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36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36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36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36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36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36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36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36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36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36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36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36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36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36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36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36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36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36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36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36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36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36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36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36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36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36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36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36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36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36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36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36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36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36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36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36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36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36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36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36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36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36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36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36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36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36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36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36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36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36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36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36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36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36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36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36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36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36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36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36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36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36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36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36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36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36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36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36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36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36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36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36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36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36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36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36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36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36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36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36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36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36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36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36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36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36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36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36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36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36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36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36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36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36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36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36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36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36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36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36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36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36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36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36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36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36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36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36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36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36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36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36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36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36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36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36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36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36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36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36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36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36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36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36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36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36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36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36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36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36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36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36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36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36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36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36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36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36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36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36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36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36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36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36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36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36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36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36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36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36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36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36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36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36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36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36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36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36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36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36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36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36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36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36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36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36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36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36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36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36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36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36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36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36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36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36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36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36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36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36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36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36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36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36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36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36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36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36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36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36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36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36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36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36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36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36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36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36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36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36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36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36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36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36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36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36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36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36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36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36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36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36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36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36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36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36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36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36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36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36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36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36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36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36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36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36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36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36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36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36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36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36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36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36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36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36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36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36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36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36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36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36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36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36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36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36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36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36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36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36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36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36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36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36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36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36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36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36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36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36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36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36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36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36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36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36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36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36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36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36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36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36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36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36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36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36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36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36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36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36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36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36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36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36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36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36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36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36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36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36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36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36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36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36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36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36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36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36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36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36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36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36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36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36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36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36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36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36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36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36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36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36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36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36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36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36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36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36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36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36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36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36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36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36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36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36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36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36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36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36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36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36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36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36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36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36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36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36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36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36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36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36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36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36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36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36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36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36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36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36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36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36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36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36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36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36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36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36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36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36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36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36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36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36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36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36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36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36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36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36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36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36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36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36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36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36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36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36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36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36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36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36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36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36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36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36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36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36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36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36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36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36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36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36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36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36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36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36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36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36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36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36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36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36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36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36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36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36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36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36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36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36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36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36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36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36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36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36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36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36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36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36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36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36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36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36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36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36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36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36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36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36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36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36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36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36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36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36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36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36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36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36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36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36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36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36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36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36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36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36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36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36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36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36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36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36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36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36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36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36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36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36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36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36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36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36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36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36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36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36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36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36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36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36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36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36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36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36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36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36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36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36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36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36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36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36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36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36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36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36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36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36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36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36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36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36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36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36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36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36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36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36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36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36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36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36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36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36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36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36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36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36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36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36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36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36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36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36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36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36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36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36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36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36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36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36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36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36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36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36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36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36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36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36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36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36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36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36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36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36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36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36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36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36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36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36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36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36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36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36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36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36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36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36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36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36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36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36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36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36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36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36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36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36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36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36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36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36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36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36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36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36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36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36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36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36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36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36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36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36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36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36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36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36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36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36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36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36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36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36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36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36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36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36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36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36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36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36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36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36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36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36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36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36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36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36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36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36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36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36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36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36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36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36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36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36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36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36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36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36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36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36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36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36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36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36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36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36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36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36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36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36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36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36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36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36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36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36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36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36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36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36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36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36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36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36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36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36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36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36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36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36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36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36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36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36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36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36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36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36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36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36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36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36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36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36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36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36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36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36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36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36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36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36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36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36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36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36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36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36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36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36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36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36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36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36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36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36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36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36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36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36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36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36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36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36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36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36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36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36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36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36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36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36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36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36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36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36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36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36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36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36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36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36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36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36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36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36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36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36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36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ht="15.75" customHeight="1">
      <c r="A1001" s="36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ht="15.75" customHeight="1">
      <c r="A1002" s="36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ht="15.75" customHeight="1">
      <c r="A1003" s="36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2025-07-31T16:14:06Z</dcterms:created>
  <dc:creator>Microsoft Office User</dc:creator>
</cp:coreProperties>
</file>